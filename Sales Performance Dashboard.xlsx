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00df4fb48131f39/Documents/"/>
    </mc:Choice>
  </mc:AlternateContent>
  <xr:revisionPtr revIDLastSave="3927" documentId="8_{65FCF333-C067-457B-A75A-8EFF6417DD53}" xr6:coauthVersionLast="47" xr6:coauthVersionMax="47" xr10:uidLastSave="{F90750F8-7B6E-461D-8D13-7624408C5CDC}"/>
  <bookViews>
    <workbookView xWindow="-120" yWindow="-120" windowWidth="20730" windowHeight="11040" xr2:uid="{CBFE23B0-1F3E-428B-93BF-51AA1153AE51}"/>
  </bookViews>
  <sheets>
    <sheet name="Sheet3" sheetId="11" r:id="rId1"/>
    <sheet name="Sheet1" sheetId="1" r:id="rId2"/>
    <sheet name="Sheet2" sheetId="12" r:id="rId3"/>
    <sheet name="Sheet4" sheetId="4" r:id="rId4"/>
    <sheet name="Sheet5" sheetId="5" r:id="rId5"/>
    <sheet name="Sheet7" sheetId="7" r:id="rId6"/>
    <sheet name="Sheet8" sheetId="8" r:id="rId7"/>
    <sheet name="Sheet9" sheetId="14" r:id="rId8"/>
  </sheets>
  <definedNames>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 i="4" l="1"/>
  <c r="C17" i="4"/>
  <c r="K9" i="1"/>
  <c r="K5" i="1"/>
  <c r="K15" i="1"/>
  <c r="K14" i="1"/>
  <c r="K7" i="1"/>
  <c r="K18" i="1"/>
  <c r="K16" i="1"/>
  <c r="K20" i="1"/>
  <c r="K3" i="1"/>
  <c r="K11" i="1"/>
  <c r="K10" i="1"/>
  <c r="K17" i="1"/>
  <c r="K21" i="1"/>
  <c r="K2" i="1"/>
  <c r="K12" i="1"/>
  <c r="K19" i="1"/>
  <c r="K8" i="1"/>
  <c r="K13" i="1"/>
  <c r="K6" i="1"/>
  <c r="K4" i="1"/>
  <c r="J9" i="1"/>
  <c r="J5" i="1"/>
  <c r="L5" i="1" s="1"/>
  <c r="M5" i="1" s="1"/>
  <c r="J15" i="1"/>
  <c r="J14" i="1"/>
  <c r="J7" i="1"/>
  <c r="L7" i="1" s="1"/>
  <c r="M7" i="1" s="1"/>
  <c r="J18" i="1"/>
  <c r="L18" i="1" s="1"/>
  <c r="M18" i="1" s="1"/>
  <c r="J16" i="1"/>
  <c r="L16" i="1" s="1"/>
  <c r="M16" i="1" s="1"/>
  <c r="J20" i="1"/>
  <c r="L20" i="1" s="1"/>
  <c r="M20" i="1" s="1"/>
  <c r="J3" i="1"/>
  <c r="L3" i="1" s="1"/>
  <c r="M3" i="1" s="1"/>
  <c r="J11" i="1"/>
  <c r="L11" i="1" s="1"/>
  <c r="M11" i="1" s="1"/>
  <c r="J10" i="1"/>
  <c r="L10" i="1" s="1"/>
  <c r="M10" i="1" s="1"/>
  <c r="J17" i="1"/>
  <c r="L17" i="1" s="1"/>
  <c r="M17" i="1" s="1"/>
  <c r="J21" i="1"/>
  <c r="L21" i="1" s="1"/>
  <c r="M21" i="1" s="1"/>
  <c r="J2" i="1"/>
  <c r="J12" i="1"/>
  <c r="L12" i="1" s="1"/>
  <c r="M12" i="1" s="1"/>
  <c r="J19" i="1"/>
  <c r="L19" i="1" s="1"/>
  <c r="M19" i="1" s="1"/>
  <c r="J8" i="1"/>
  <c r="L8" i="1" s="1"/>
  <c r="M8" i="1" s="1"/>
  <c r="J13" i="1"/>
  <c r="L13" i="1" s="1"/>
  <c r="M13" i="1" s="1"/>
  <c r="J6" i="1"/>
  <c r="L6" i="1" s="1"/>
  <c r="M6" i="1" s="1"/>
  <c r="J4" i="1"/>
  <c r="L4" i="1" s="1"/>
  <c r="M4" i="1" s="1"/>
  <c r="L2" i="1" l="1"/>
  <c r="N2" i="1" s="1" a="1"/>
  <c r="N2" i="1" s="1"/>
  <c r="N18" i="1" a="1"/>
  <c r="N18" i="1" s="1"/>
  <c r="N10" i="1" a="1"/>
  <c r="N10" i="1" s="1"/>
  <c r="N6" i="1" a="1"/>
  <c r="N6" i="1" s="1"/>
  <c r="N21" i="1" a="1"/>
  <c r="N21" i="1" s="1"/>
  <c r="N17" i="1" a="1"/>
  <c r="N17" i="1" s="1"/>
  <c r="N13" i="1" a="1"/>
  <c r="N13" i="1" s="1"/>
  <c r="N5" i="1" a="1"/>
  <c r="N5" i="1" s="1"/>
  <c r="L9" i="1"/>
  <c r="B17" i="4" s="1"/>
  <c r="L14" i="1"/>
  <c r="N20" i="1" a="1"/>
  <c r="N20" i="1" s="1"/>
  <c r="N16" i="1" a="1"/>
  <c r="N16" i="1" s="1"/>
  <c r="N12" i="1" a="1"/>
  <c r="N12" i="1" s="1"/>
  <c r="N8" i="1" a="1"/>
  <c r="N8" i="1" s="1"/>
  <c r="N4" i="1" a="1"/>
  <c r="N4" i="1" s="1"/>
  <c r="N19" i="1" a="1"/>
  <c r="N19" i="1" s="1"/>
  <c r="N11" i="1" a="1"/>
  <c r="N11" i="1" s="1"/>
  <c r="N7" i="1" a="1"/>
  <c r="N7" i="1" s="1"/>
  <c r="N3" i="1" a="1"/>
  <c r="N3" i="1" s="1"/>
  <c r="M2" i="1"/>
  <c r="L15" i="1"/>
  <c r="M15" i="1" l="1"/>
  <c r="N15" i="1" a="1"/>
  <c r="N15" i="1" s="1"/>
  <c r="M14" i="1"/>
  <c r="N14" i="1" a="1"/>
  <c r="N14" i="1" s="1"/>
  <c r="M9" i="1"/>
  <c r="N9" i="1" a="1"/>
  <c r="N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<sst xmlns="http://schemas.openxmlformats.org/spreadsheetml/2006/main" count="137" uniqueCount="41">
  <si>
    <t>Order ID</t>
  </si>
  <si>
    <t>Date</t>
  </si>
  <si>
    <t>Region</t>
  </si>
  <si>
    <t>Product</t>
  </si>
  <si>
    <t>Category</t>
  </si>
  <si>
    <t>Units Sold</t>
  </si>
  <si>
    <t>Unit Price</t>
  </si>
  <si>
    <t>Cost per Unit</t>
  </si>
  <si>
    <t>Ali</t>
  </si>
  <si>
    <t>East</t>
  </si>
  <si>
    <t>Laptop</t>
  </si>
  <si>
    <t>Electronics</t>
  </si>
  <si>
    <t>Sara</t>
  </si>
  <si>
    <t>West</t>
  </si>
  <si>
    <t>Phone</t>
  </si>
  <si>
    <t>Omar</t>
  </si>
  <si>
    <t>North</t>
  </si>
  <si>
    <t>Desk</t>
  </si>
  <si>
    <t>Furniture</t>
  </si>
  <si>
    <t>Nora</t>
  </si>
  <si>
    <t>South</t>
  </si>
  <si>
    <t>Chair</t>
  </si>
  <si>
    <t>Tablet</t>
  </si>
  <si>
    <t>Revenue</t>
  </si>
  <si>
    <t>Total Cost</t>
  </si>
  <si>
    <t>Profit</t>
  </si>
  <si>
    <t>Profit Margin</t>
  </si>
  <si>
    <t>Performance</t>
  </si>
  <si>
    <t>Row Labels</t>
  </si>
  <si>
    <t>Grand Total</t>
  </si>
  <si>
    <t>Sum of Revenue</t>
  </si>
  <si>
    <t>Total revenue</t>
  </si>
  <si>
    <t>Total profit</t>
  </si>
  <si>
    <t>Average Profit Margin</t>
  </si>
  <si>
    <t>Sales Rep.</t>
  </si>
  <si>
    <t>Sum of Total Cost</t>
  </si>
  <si>
    <t>Sum of Total Profit Margin</t>
  </si>
  <si>
    <t xml:space="preserve"> </t>
  </si>
  <si>
    <t>Sum of Profit Margin</t>
  </si>
  <si>
    <t xml:space="preserve"> Profit Margin</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</si>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</sst>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d/m/yyyy"/>
  </numFmts>
  <fonts count="6" x14ac:knownFonts="1">
    <font>
      <sz val="11"/>
      <color theme="1"/>
      <name val="Aptos Narrow"/>
      <family val="2"/>
      <scheme val="minor"/>
    </font>
    <font>
      <b/>
      <sz val="11"/>
      <name val="Calibri"/>
    </font>
    <font>
      <b/>
      <sz val="11"/>
      <name val="Calibri"/>
      <family val="2"/>
    </font>
    <font>
      <b/>
      <sz val="16"/>
      <color theme="1"/>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CFE2F3"/>
      </patternFill>
    </fill>
    <fill>
      <patternFill patternType="solid">
        <fgColor rgb="FFCFE2F3"/>
        <bgColor indexed="64"/>
      </patternFill>
    </fill>
    <fill>
      <patternFill patternType="solid">
        <fgColor theme="0" tint="-4.9989318521683403E-2"/>
        <bgColor indexed="64"/>
      </patternFill>
    </fill>
    <fill>
      <patternFill patternType="solid">
        <fgColor theme="4" tint="0.79998168889431442"/>
        <bgColor theme="4" tint="0.79998168889431442"/>
      </patternFill>
    </fill>
  </fills>
  <borders count="8">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bottom style="thin">
        <color theme="4" tint="0.39997558519241921"/>
      </bottom>
      <diagonal/>
    </border>
  </borders>
  <cellStyleXfs count="2">
    <xf numFmtId="0" fontId="0" fillId="0" borderId="0"/>
    <xf numFmtId="44" fontId="4" fillId="0" borderId="0" applyFont="0" applyFill="0" applyBorder="0" applyAlignment="0" applyProtection="0"/>
  </cellStyleXfs>
  <cellXfs count="24">
    <xf numFmtId="0" fontId="0" fillId="0" borderId="0" xfId="0"/>
    <xf numFmtId="0" fontId="1" fillId="2" borderId="0" xfId="0" applyFont="1" applyFill="1"/>
    <xf numFmtId="0" fontId="1" fillId="3" borderId="0" xfId="0" applyFont="1" applyFill="1"/>
    <xf numFmtId="0" fontId="2" fillId="3" borderId="0" xfId="0" applyFont="1" applyFill="1"/>
    <xf numFmtId="10"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applyAlignment="1">
      <alignment horizontal="left"/>
    </xf>
    <xf numFmtId="164" fontId="0" fillId="0" borderId="0" xfId="1" applyNumberFormat="1" applyFont="1"/>
    <xf numFmtId="165" fontId="0" fillId="0" borderId="0" xfId="0" applyNumberFormat="1"/>
    <xf numFmtId="3" fontId="0" fillId="0" borderId="0" xfId="0" applyNumberFormat="1"/>
    <xf numFmtId="0" fontId="0" fillId="4" borderId="0" xfId="0" applyFill="1"/>
    <xf numFmtId="0" fontId="5" fillId="5" borderId="7" xfId="0" applyFont="1" applyFill="1" applyBorder="1"/>
    <xf numFmtId="166" fontId="1" fillId="2" borderId="0" xfId="0" applyNumberFormat="1" applyFont="1" applyFill="1"/>
    <xf numFmtId="166" fontId="0" fillId="0" borderId="0" xfId="0" applyNumberFormat="1"/>
    <xf numFmtId="14" fontId="0" fillId="0" borderId="0" xfId="0" applyNumberFormat="1" applyAlignment="1">
      <alignment horizontal="left"/>
    </xf>
    <xf numFmtId="3" fontId="0" fillId="0" borderId="3" xfId="0" applyNumberFormat="1" applyBorder="1"/>
    <xf numFmtId="3" fontId="0" fillId="0" borderId="4" xfId="0" applyNumberFormat="1" applyBorder="1"/>
    <xf numFmtId="3" fontId="0" fillId="0" borderId="6" xfId="0" applyNumberFormat="1" applyBorder="1"/>
  </cellXfs>
  <cellStyles count="2">
    <cellStyle name="Currency" xfId="1" builtinId="4"/>
    <cellStyle name="Normal" xfId="0" builtinId="0"/>
  </cellStyles>
  <dxfs count="17">
    <dxf>
      <numFmt numFmtId="3" formatCode="#,##0"/>
    </dxf>
    <dxf>
      <fill>
        <patternFill>
          <bgColor theme="6" tint="0.39994506668294322"/>
        </patternFill>
      </fill>
    </dxf>
    <dxf>
      <fill>
        <patternFill>
          <bgColor rgb="FFC00000"/>
        </patternFill>
      </fill>
    </dxf>
    <dxf>
      <fill>
        <patternFill>
          <bgColor theme="5" tint="-0.24994659260841701"/>
        </patternFill>
      </fill>
    </dxf>
    <dxf>
      <fill>
        <patternFill>
          <bgColor rgb="FFFFCC00"/>
        </patternFill>
      </fill>
    </dxf>
    <dxf>
      <numFmt numFmtId="165" formatCode="0.0%"/>
    </dxf>
    <dxf>
      <numFmt numFmtId="165" formatCode="0.0%"/>
    </dxf>
    <dxf>
      <numFmt numFmtId="165" formatCode="0.0%"/>
    </dxf>
    <dxf>
      <numFmt numFmtId="165" formatCode="0.0%"/>
    </dxf>
    <dxf>
      <numFmt numFmtId="3" formatCode="#,##0"/>
    </dxf>
    <dxf>
      <numFmt numFmtId="0" formatCode="General"/>
    </dxf>
    <dxf>
      <numFmt numFmtId="14" formatCode="0.00%"/>
    </dxf>
    <dxf>
      <numFmt numFmtId="0" formatCode="General"/>
    </dxf>
    <dxf>
      <numFmt numFmtId="0" formatCode="General"/>
    </dxf>
    <dxf>
      <numFmt numFmtId="0" formatCode="General"/>
    </dxf>
    <dxf>
      <numFmt numFmtId="166" formatCode="d/m/yyyy"/>
    </dxf>
    <dxf>
      <font>
        <b/>
        <i val="0"/>
        <strike val="0"/>
        <condense val="0"/>
        <extend val="0"/>
        <outline val="0"/>
        <shadow val="0"/>
        <u val="none"/>
        <vertAlign val="baseline"/>
        <sz val="11"/>
        <color auto="1"/>
        <name val="Calibri"/>
        <scheme val="none"/>
      </font>
      <fill>
        <patternFill patternType="solid">
          <fgColor indexed="64"/>
          <bgColor rgb="FFCFE2F3"/>
        </patternFill>
      </fill>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Analysis.xlsx]Sheet5!PivotTable5</c:name>
    <c:fmtId val="13"/>
  </c:pivotSource>
  <c:chart>
    <c:title>
      <c:tx>
        <c:rich>
          <a:bodyPr rot="0" spcFirstLastPara="1" vertOverflow="ellipsis" vert="horz" wrap="square" anchor="ctr" anchorCtr="1"/>
          <a:lstStyle/>
          <a:p>
            <a:pPr algn="ctr" rtl="0">
              <a:def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Revenue by Salse Rep.</a:t>
            </a:r>
          </a:p>
          <a:p>
            <a:pPr algn="ctr" rtl="0">
              <a:defRPr lang="en-US" sz="16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c:spPr>
        <c:dLbl>
          <c:idx val="0"/>
          <c:layout>
            <c:manualLayout>
              <c:x val="-1.8604438720415575E-16"/>
              <c:y val="0"/>
            </c:manualLayout>
          </c:layout>
          <c:spPr>
            <a:noFill/>
            <a:ln>
              <a:noFill/>
            </a:ln>
            <a:effectLst/>
          </c:spPr>
          <c:txPr>
            <a:bodyPr rot="0" spcFirstLastPara="1" vertOverflow="ellipsis" vert="horz" wrap="square" anchor="ctr" anchorCtr="1"/>
            <a:lstStyle/>
            <a:p>
              <a:pPr>
                <a:defRPr sz="105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c:spPr>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1392232710258"/>
          <c:y val="0.22188356299474449"/>
          <c:w val="0.87111609543588031"/>
          <c:h val="0.71986399200794804"/>
        </c:manualLayout>
      </c:layout>
      <c:barChart>
        <c:barDir val="bar"/>
        <c:grouping val="clustered"/>
        <c:varyColors val="0"/>
        <c:ser>
          <c:idx val="0"/>
          <c:order val="0"/>
          <c:tx>
            <c:strRef>
              <c:f>Sheet5!$B$3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Sara</c:v>
                </c:pt>
                <c:pt idx="1">
                  <c:v>Ali</c:v>
                </c:pt>
                <c:pt idx="2">
                  <c:v>Omar</c:v>
                </c:pt>
                <c:pt idx="3">
                  <c:v>Nora</c:v>
                </c:pt>
              </c:strCache>
            </c:strRef>
          </c:cat>
          <c:val>
            <c:numRef>
              <c:f>Sheet5!$B$4:$B$8</c:f>
              <c:numCache>
                <c:formatCode>#,##0</c:formatCode>
                <c:ptCount val="4"/>
                <c:pt idx="0">
                  <c:v>32600</c:v>
                </c:pt>
                <c:pt idx="1">
                  <c:v>27800</c:v>
                </c:pt>
                <c:pt idx="2">
                  <c:v>24300</c:v>
                </c:pt>
                <c:pt idx="3">
                  <c:v>17400</c:v>
                </c:pt>
              </c:numCache>
            </c:numRef>
          </c:val>
          <c:extLst>
            <c:ext xmlns:c16="http://schemas.microsoft.com/office/drawing/2014/chart" uri="{C3380CC4-5D6E-409C-BE32-E72D297353CC}">
              <c16:uniqueId val="{00000003-8254-4D25-84F8-6CE1CEF6573C}"/>
            </c:ext>
          </c:extLst>
        </c:ser>
        <c:dLbls>
          <c:dLblPos val="inEnd"/>
          <c:showLegendKey val="0"/>
          <c:showVal val="1"/>
          <c:showCatName val="0"/>
          <c:showSerName val="0"/>
          <c:showPercent val="0"/>
          <c:showBubbleSize val="0"/>
        </c:dLbls>
        <c:gapWidth val="11"/>
        <c:axId val="605615472"/>
        <c:axId val="605617272"/>
      </c:barChart>
      <c:catAx>
        <c:axId val="60561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0" i="0" u="none" strike="noStrike" kern="1200" spc="0" baseline="0">
                <a:solidFill>
                  <a:schemeClr val="bg2">
                    <a:lumMod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05617272"/>
        <c:crosses val="autoZero"/>
        <c:auto val="1"/>
        <c:lblAlgn val="ctr"/>
        <c:lblOffset val="100"/>
        <c:noMultiLvlLbl val="0"/>
      </c:catAx>
      <c:valAx>
        <c:axId val="605617272"/>
        <c:scaling>
          <c:orientation val="minMax"/>
        </c:scaling>
        <c:delete val="1"/>
        <c:axPos val="t"/>
        <c:numFmt formatCode="#,##0" sourceLinked="1"/>
        <c:majorTickMark val="none"/>
        <c:minorTickMark val="none"/>
        <c:tickLblPos val="nextTo"/>
        <c:crossAx val="60561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Analysis.xlsx]Sheet8!PivotTable7</c:name>
    <c:fmtId val="34"/>
  </c:pivotSource>
  <c:chart>
    <c:title>
      <c:tx>
        <c:rich>
          <a:bodyPr rot="0" spcFirstLastPara="1" vertOverflow="ellipsis" vert="horz" wrap="square" anchor="ctr" anchorCtr="1"/>
          <a:lstStyle/>
          <a:p>
            <a:pPr algn="ctr" rtl="0">
              <a:def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Revenue by Category</a:t>
            </a:r>
          </a:p>
          <a:p>
            <a:pPr algn="ctr" rtl="0">
              <a:defRPr lang="en-US" sz="16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068088363954506E-2"/>
              <c:y val="0.127852508019830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19050">
            <a:solidFill>
              <a:schemeClr val="lt1"/>
            </a:solidFill>
          </a:ln>
          <a:effectLst/>
        </c:spPr>
        <c:dLbl>
          <c:idx val="0"/>
          <c:layout>
            <c:manualLayout>
              <c:x val="-8.1308180227471674E-2"/>
              <c:y val="-0.251552930883639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19050">
            <a:solidFill>
              <a:schemeClr val="lt1"/>
            </a:solidFill>
          </a:ln>
          <a:effectLst/>
        </c:spPr>
        <c:dLbl>
          <c:idx val="0"/>
          <c:layout>
            <c:manualLayout>
              <c:x val="-8.1308180227471674E-2"/>
              <c:y val="-0.251552930883639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068088363954506E-2"/>
              <c:y val="0.127852508019830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0.20360892388451443"/>
              <c:y val="9.8796114027413243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w="19050">
            <a:solidFill>
              <a:schemeClr val="lt1"/>
            </a:solidFill>
          </a:ln>
          <a:effectLst/>
        </c:spPr>
        <c:dLbl>
          <c:idx val="0"/>
          <c:layout>
            <c:manualLayout>
              <c:x val="-0.20317119077220611"/>
              <c:y val="-0.14134982259162052"/>
            </c:manualLayout>
          </c:layout>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63984436156007"/>
          <c:y val="0.28613997035092831"/>
          <c:w val="0.5181786046558855"/>
          <c:h val="0.66825701919185421"/>
        </c:manualLayout>
      </c:layout>
      <c:doughnutChart>
        <c:varyColors val="1"/>
        <c:ser>
          <c:idx val="0"/>
          <c:order val="0"/>
          <c:tx>
            <c:strRef>
              <c:f>Sheet8!$B$3</c:f>
              <c:strCache>
                <c:ptCount val="1"/>
                <c:pt idx="0">
                  <c:v>Total</c:v>
                </c:pt>
              </c:strCache>
            </c:strRef>
          </c:tx>
          <c:spPr>
            <a:solidFill>
              <a:schemeClr val="accent1">
                <a:lumMod val="5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79C-48F7-AC0B-E417AF5ABB94}"/>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C79C-48F7-AC0B-E417AF5ABB94}"/>
              </c:ext>
            </c:extLst>
          </c:dPt>
          <c:dLbls>
            <c:dLbl>
              <c:idx val="0"/>
              <c:layout>
                <c:manualLayout>
                  <c:x val="0.20360892388451443"/>
                  <c:y val="9.87961140274132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9C-48F7-AC0B-E417AF5ABB94}"/>
                </c:ext>
              </c:extLst>
            </c:dLbl>
            <c:dLbl>
              <c:idx val="1"/>
              <c:layout>
                <c:manualLayout>
                  <c:x val="-0.20317119077220611"/>
                  <c:y val="-0.141349822591620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9C-48F7-AC0B-E417AF5ABB94}"/>
                </c:ext>
              </c:extLst>
            </c:dLbl>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Electronics</c:v>
                </c:pt>
                <c:pt idx="1">
                  <c:v>Furniture</c:v>
                </c:pt>
              </c:strCache>
            </c:strRef>
          </c:cat>
          <c:val>
            <c:numRef>
              <c:f>Sheet8!$B$4:$B$6</c:f>
              <c:numCache>
                <c:formatCode>0.00%</c:formatCode>
                <c:ptCount val="2"/>
                <c:pt idx="0">
                  <c:v>0.81292850146914786</c:v>
                </c:pt>
                <c:pt idx="1">
                  <c:v>0.18707149853085211</c:v>
                </c:pt>
              </c:numCache>
            </c:numRef>
          </c:val>
          <c:extLst>
            <c:ext xmlns:c16="http://schemas.microsoft.com/office/drawing/2014/chart" uri="{C3380CC4-5D6E-409C-BE32-E72D297353CC}">
              <c16:uniqueId val="{00000004-C79C-48F7-AC0B-E417AF5ABB94}"/>
            </c:ext>
          </c:extLst>
        </c:ser>
        <c:dLbls>
          <c:showLegendKey val="0"/>
          <c:showVal val="1"/>
          <c:showCatName val="0"/>
          <c:showSerName val="0"/>
          <c:showPercent val="0"/>
          <c:showBubbleSize val="0"/>
          <c:showLeaderLines val="1"/>
        </c:dLbls>
        <c:firstSliceAng val="0"/>
        <c:holeSize val="26"/>
      </c:doughnutChart>
      <c:spPr>
        <a:noFill/>
        <a:ln>
          <a:noFill/>
        </a:ln>
        <a:effectLst/>
      </c:spPr>
    </c:plotArea>
    <c:legend>
      <c:legendPos val="t"/>
      <c:layout>
        <c:manualLayout>
          <c:xMode val="edge"/>
          <c:yMode val="edge"/>
          <c:x val="0.17317309020582952"/>
          <c:y val="6.0244422572178484E-2"/>
          <c:w val="0.61373002716765668"/>
          <c:h val="0.1712103261397880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Analysis.xlsx]Sheet4!PivotTable4</c:name>
    <c:fmtId val="35"/>
  </c:pivotSource>
  <c:chart>
    <c:title>
      <c:tx>
        <c:rich>
          <a:bodyPr rot="0" spcFirstLastPara="1" vertOverflow="ellipsis" vert="horz" wrap="square" anchor="ctr" anchorCtr="1"/>
          <a:lstStyle/>
          <a:p>
            <a:pPr algn="ctr">
              <a:defRPr sz="1600" b="0" i="0" u="none" strike="noStrike" kern="1200" spc="0" baseline="0">
                <a:solidFill>
                  <a:schemeClr val="tx1"/>
                </a:solidFill>
                <a:latin typeface="+mn-lt"/>
                <a:ea typeface="+mn-ea"/>
                <a:cs typeface="+mn-cs"/>
              </a:defRPr>
            </a:pPr>
            <a:r>
              <a:rPr lang="en-US" sz="1700">
                <a:solidFill>
                  <a:schemeClr val="tx1"/>
                </a:solidFill>
              </a:rPr>
              <a:t>Revenue by Region vs Profit</a:t>
            </a:r>
            <a:r>
              <a:rPr lang="en-US" sz="1700" baseline="0">
                <a:solidFill>
                  <a:schemeClr val="tx1"/>
                </a:solidFill>
              </a:rPr>
              <a:t>    Margin</a:t>
            </a:r>
            <a:endParaRPr lang="en-US" sz="1700">
              <a:solidFill>
                <a:schemeClr val="tx1"/>
              </a:solidFill>
            </a:endParaRPr>
          </a:p>
        </c:rich>
      </c:tx>
      <c:layout>
        <c:manualLayout>
          <c:xMode val="edge"/>
          <c:yMode val="edge"/>
          <c:x val="0.15367885757701341"/>
          <c:y val="2.6202063283756197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7625" cap="rnd">
            <a:solidFill>
              <a:schemeClr val="accent1"/>
            </a:solidFill>
            <a:round/>
          </a:ln>
          <a:effectLst/>
        </c:spPr>
        <c:marker>
          <c:symbol val="square"/>
          <c:size val="5"/>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2"/>
            </a:solidFill>
            <a:round/>
          </a:ln>
          <a:effectLst/>
        </c:spPr>
        <c:marker>
          <c:symbol val="square"/>
          <c:size val="5"/>
          <c:spPr>
            <a:solidFill>
              <a:schemeClr val="accent2"/>
            </a:solidFill>
            <a:ln w="9525">
              <a:noFill/>
            </a:ln>
            <a:effectLst/>
          </c:spPr>
        </c:marker>
        <c:dLbl>
          <c:idx val="0"/>
          <c:layout>
            <c:manualLayout>
              <c:x val="-0.15238096301085363"/>
              <c:y val="-3.980098255150032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2"/>
            </a:solidFill>
            <a:round/>
          </a:ln>
          <a:effectLst/>
        </c:spPr>
        <c:marker>
          <c:symbol val="square"/>
          <c:size val="5"/>
          <c:spPr>
            <a:solidFill>
              <a:schemeClr val="accent2"/>
            </a:solidFill>
            <a:ln w="9525">
              <a:noFill/>
            </a:ln>
            <a:effectLst/>
          </c:spPr>
        </c:marker>
      </c:pivotFmt>
      <c:pivotFmt>
        <c:idx val="8"/>
        <c:spPr>
          <a:ln w="31750" cap="rnd">
            <a:solidFill>
              <a:schemeClr val="accent2"/>
            </a:solidFill>
            <a:round/>
          </a:ln>
          <a:effectLst/>
        </c:spPr>
        <c:marker>
          <c:symbol val="square"/>
          <c:size val="5"/>
          <c:spPr>
            <a:solidFill>
              <a:schemeClr val="accent2"/>
            </a:solidFill>
            <a:ln w="9525">
              <a:noFill/>
            </a:ln>
            <a:effectLst/>
          </c:spPr>
        </c:marker>
      </c:pivotFmt>
      <c:pivotFmt>
        <c:idx val="9"/>
        <c:spPr>
          <a:ln w="47625" cap="rnd">
            <a:solidFill>
              <a:schemeClr val="accent2"/>
            </a:solidFill>
            <a:round/>
          </a:ln>
          <a:effectLst/>
        </c:spPr>
        <c:marker>
          <c:symbol val="square"/>
          <c:size val="5"/>
          <c:spPr>
            <a:solidFill>
              <a:schemeClr val="accent2"/>
            </a:solidFill>
            <a:ln w="22225">
              <a:noFill/>
            </a:ln>
            <a:effectLst/>
          </c:spPr>
        </c:marker>
      </c:pivotFmt>
    </c:pivotFmts>
    <c:plotArea>
      <c:layout>
        <c:manualLayout>
          <c:layoutTarget val="inner"/>
          <c:xMode val="edge"/>
          <c:yMode val="edge"/>
          <c:x val="0.16871455035896446"/>
          <c:y val="0.2780961407601828"/>
          <c:w val="0.67095924667271789"/>
          <c:h val="0.64648798240497718"/>
        </c:manualLayout>
      </c:layout>
      <c:barChart>
        <c:barDir val="col"/>
        <c:grouping val="clustered"/>
        <c:varyColors val="0"/>
        <c:ser>
          <c:idx val="0"/>
          <c:order val="0"/>
          <c:tx>
            <c:strRef>
              <c:f>Sheet4!$B$5</c:f>
              <c:strCache>
                <c:ptCount val="1"/>
                <c:pt idx="0">
                  <c:v>Total Revenue</c:v>
                </c:pt>
              </c:strCache>
            </c:strRef>
          </c:tx>
          <c:spPr>
            <a:solidFill>
              <a:schemeClr val="accent1">
                <a:lumMod val="50000"/>
              </a:schemeClr>
            </a:solidFill>
            <a:ln>
              <a:noFill/>
            </a:ln>
            <a:effectLst/>
          </c:spPr>
          <c:invertIfNegative val="0"/>
          <c:cat>
            <c:strRef>
              <c:f>Sheet4!$A$6:$A$10</c:f>
              <c:strCache>
                <c:ptCount val="4"/>
                <c:pt idx="0">
                  <c:v>West</c:v>
                </c:pt>
                <c:pt idx="1">
                  <c:v>East</c:v>
                </c:pt>
                <c:pt idx="2">
                  <c:v>North</c:v>
                </c:pt>
                <c:pt idx="3">
                  <c:v>South</c:v>
                </c:pt>
              </c:strCache>
            </c:strRef>
          </c:cat>
          <c:val>
            <c:numRef>
              <c:f>Sheet4!$B$6:$B$10</c:f>
              <c:numCache>
                <c:formatCode>General</c:formatCode>
                <c:ptCount val="4"/>
                <c:pt idx="0">
                  <c:v>32600</c:v>
                </c:pt>
                <c:pt idx="1">
                  <c:v>27800</c:v>
                </c:pt>
                <c:pt idx="2">
                  <c:v>24300</c:v>
                </c:pt>
                <c:pt idx="3">
                  <c:v>17400</c:v>
                </c:pt>
              </c:numCache>
            </c:numRef>
          </c:val>
          <c:extLst>
            <c:ext xmlns:c16="http://schemas.microsoft.com/office/drawing/2014/chart" uri="{C3380CC4-5D6E-409C-BE32-E72D297353CC}">
              <c16:uniqueId val="{00000000-7C5C-4C06-A6CF-9722DB517065}"/>
            </c:ext>
          </c:extLst>
        </c:ser>
        <c:dLbls>
          <c:showLegendKey val="0"/>
          <c:showVal val="0"/>
          <c:showCatName val="0"/>
          <c:showSerName val="0"/>
          <c:showPercent val="0"/>
          <c:showBubbleSize val="0"/>
        </c:dLbls>
        <c:gapWidth val="11"/>
        <c:overlap val="-27"/>
        <c:axId val="414776696"/>
        <c:axId val="414784616"/>
      </c:barChart>
      <c:lineChart>
        <c:grouping val="standard"/>
        <c:varyColors val="0"/>
        <c:ser>
          <c:idx val="1"/>
          <c:order val="1"/>
          <c:tx>
            <c:strRef>
              <c:f>Sheet4!$C$5</c:f>
              <c:strCache>
                <c:ptCount val="1"/>
                <c:pt idx="0">
                  <c:v> Profit Margin</c:v>
                </c:pt>
              </c:strCache>
            </c:strRef>
          </c:tx>
          <c:spPr>
            <a:ln w="47625" cap="rnd">
              <a:solidFill>
                <a:schemeClr val="accent2"/>
              </a:solidFill>
              <a:round/>
            </a:ln>
            <a:effectLst/>
          </c:spPr>
          <c:marker>
            <c:symbol val="square"/>
            <c:size val="5"/>
            <c:spPr>
              <a:solidFill>
                <a:schemeClr val="accent2"/>
              </a:solidFill>
              <a:ln w="9525">
                <a:noFill/>
              </a:ln>
              <a:effectLst/>
            </c:spPr>
          </c:marker>
          <c:dPt>
            <c:idx val="0"/>
            <c:marker>
              <c:symbol val="square"/>
              <c:size val="5"/>
              <c:spPr>
                <a:solidFill>
                  <a:schemeClr val="accent2"/>
                </a:solidFill>
                <a:ln w="22225">
                  <a:noFill/>
                </a:ln>
                <a:effectLst/>
              </c:spPr>
            </c:marker>
            <c:bubble3D val="0"/>
            <c:spPr>
              <a:ln w="47625" cap="rnd">
                <a:solidFill>
                  <a:schemeClr val="accent2"/>
                </a:solidFill>
                <a:round/>
              </a:ln>
              <a:effectLst/>
            </c:spPr>
            <c:extLst>
              <c:ext xmlns:c16="http://schemas.microsoft.com/office/drawing/2014/chart" uri="{C3380CC4-5D6E-409C-BE32-E72D297353CC}">
                <c16:uniqueId val="{00000005-7C5C-4C06-A6CF-9722DB517065}"/>
              </c:ext>
            </c:extLst>
          </c:dPt>
          <c:dPt>
            <c:idx val="1"/>
            <c:marker>
              <c:symbol val="square"/>
              <c:size val="5"/>
              <c:spPr>
                <a:solidFill>
                  <a:schemeClr val="accent2"/>
                </a:solidFill>
                <a:ln w="9525">
                  <a:noFill/>
                </a:ln>
                <a:effectLst/>
              </c:spPr>
            </c:marker>
            <c:bubble3D val="0"/>
            <c:spPr>
              <a:ln w="31750" cap="rnd">
                <a:solidFill>
                  <a:schemeClr val="accent2"/>
                </a:solidFill>
                <a:round/>
              </a:ln>
              <a:effectLst/>
            </c:spPr>
            <c:extLst>
              <c:ext xmlns:c16="http://schemas.microsoft.com/office/drawing/2014/chart" uri="{C3380CC4-5D6E-409C-BE32-E72D297353CC}">
                <c16:uniqueId val="{00000004-7C5C-4C06-A6CF-9722DB517065}"/>
              </c:ext>
            </c:extLst>
          </c:dPt>
          <c:dPt>
            <c:idx val="2"/>
            <c:marker>
              <c:symbol val="square"/>
              <c:size val="5"/>
              <c:spPr>
                <a:solidFill>
                  <a:schemeClr val="accent2"/>
                </a:solidFill>
                <a:ln w="9525">
                  <a:noFill/>
                </a:ln>
                <a:effectLst/>
              </c:spPr>
            </c:marker>
            <c:bubble3D val="0"/>
            <c:spPr>
              <a:ln w="31750" cap="rnd">
                <a:solidFill>
                  <a:schemeClr val="accent2"/>
                </a:solidFill>
                <a:round/>
              </a:ln>
              <a:effectLst/>
            </c:spPr>
            <c:extLst>
              <c:ext xmlns:c16="http://schemas.microsoft.com/office/drawing/2014/chart" uri="{C3380CC4-5D6E-409C-BE32-E72D297353CC}">
                <c16:uniqueId val="{00000003-7C5C-4C06-A6CF-9722DB517065}"/>
              </c:ext>
            </c:extLst>
          </c:dPt>
          <c:dPt>
            <c:idx val="3"/>
            <c:marker>
              <c:symbol val="square"/>
              <c:size val="5"/>
              <c:spPr>
                <a:solidFill>
                  <a:schemeClr val="accent2"/>
                </a:solidFill>
                <a:ln w="9525">
                  <a:noFill/>
                </a:ln>
                <a:effectLst/>
              </c:spPr>
            </c:marker>
            <c:bubble3D val="0"/>
            <c:spPr>
              <a:ln w="31750" cap="rnd">
                <a:solidFill>
                  <a:schemeClr val="accent2"/>
                </a:solidFill>
                <a:round/>
              </a:ln>
              <a:effectLst/>
            </c:spPr>
            <c:extLst>
              <c:ext xmlns:c16="http://schemas.microsoft.com/office/drawing/2014/chart" uri="{C3380CC4-5D6E-409C-BE32-E72D297353CC}">
                <c16:uniqueId val="{00000002-7C5C-4C06-A6CF-9722DB517065}"/>
              </c:ext>
            </c:extLst>
          </c:dPt>
          <c:dLbls>
            <c:dLbl>
              <c:idx val="3"/>
              <c:layout>
                <c:manualLayout>
                  <c:x val="-0.15238096301085363"/>
                  <c:y val="-3.98009825515003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5C-4C06-A6CF-9722DB51706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Sheet4!$A$6:$A$10</c:f>
              <c:strCache>
                <c:ptCount val="4"/>
                <c:pt idx="0">
                  <c:v>West</c:v>
                </c:pt>
                <c:pt idx="1">
                  <c:v>East</c:v>
                </c:pt>
                <c:pt idx="2">
                  <c:v>North</c:v>
                </c:pt>
                <c:pt idx="3">
                  <c:v>South</c:v>
                </c:pt>
              </c:strCache>
            </c:strRef>
          </c:cat>
          <c:val>
            <c:numRef>
              <c:f>Sheet4!$C$6:$C$10</c:f>
              <c:numCache>
                <c:formatCode>0.0%</c:formatCode>
                <c:ptCount val="4"/>
                <c:pt idx="0">
                  <c:v>0.28374233128834359</c:v>
                </c:pt>
                <c:pt idx="1">
                  <c:v>0.29640287769784174</c:v>
                </c:pt>
                <c:pt idx="2">
                  <c:v>0.29012345679012347</c:v>
                </c:pt>
                <c:pt idx="3">
                  <c:v>0.33333333333333331</c:v>
                </c:pt>
              </c:numCache>
            </c:numRef>
          </c:val>
          <c:smooth val="0"/>
          <c:extLst>
            <c:ext xmlns:c16="http://schemas.microsoft.com/office/drawing/2014/chart" uri="{C3380CC4-5D6E-409C-BE32-E72D297353CC}">
              <c16:uniqueId val="{00000001-7C5C-4C06-A6CF-9722DB517065}"/>
            </c:ext>
          </c:extLst>
        </c:ser>
        <c:dLbls>
          <c:showLegendKey val="0"/>
          <c:showVal val="0"/>
          <c:showCatName val="0"/>
          <c:showSerName val="0"/>
          <c:showPercent val="0"/>
          <c:showBubbleSize val="0"/>
        </c:dLbls>
        <c:marker val="1"/>
        <c:smooth val="0"/>
        <c:axId val="414791456"/>
        <c:axId val="414790736"/>
      </c:lineChart>
      <c:catAx>
        <c:axId val="41477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84616"/>
        <c:crosses val="autoZero"/>
        <c:auto val="1"/>
        <c:lblAlgn val="ctr"/>
        <c:lblOffset val="100"/>
        <c:noMultiLvlLbl val="0"/>
      </c:catAx>
      <c:valAx>
        <c:axId val="414784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76696"/>
        <c:crosses val="autoZero"/>
        <c:crossBetween val="between"/>
      </c:valAx>
      <c:valAx>
        <c:axId val="41479073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91456"/>
        <c:crosses val="max"/>
        <c:crossBetween val="between"/>
      </c:valAx>
      <c:catAx>
        <c:axId val="414791456"/>
        <c:scaling>
          <c:orientation val="minMax"/>
        </c:scaling>
        <c:delete val="1"/>
        <c:axPos val="b"/>
        <c:numFmt formatCode="General" sourceLinked="1"/>
        <c:majorTickMark val="out"/>
        <c:minorTickMark val="none"/>
        <c:tickLblPos val="nextTo"/>
        <c:crossAx val="4147907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Analysis.xlsx]Sheet7!PivotTable6</c:name>
    <c:fmtId val="18"/>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Revenue</a:t>
            </a:r>
            <a:r>
              <a:rPr lang="en-US" sz="1600" baseline="0">
                <a:solidFill>
                  <a:schemeClr val="tx1"/>
                </a:solidFill>
              </a:rPr>
              <a:t> by Product vs Profit Margin</a:t>
            </a:r>
          </a:p>
          <a:p>
            <a:pPr>
              <a:defRPr sz="1600">
                <a:solidFill>
                  <a:schemeClr val="tx1"/>
                </a:solidFill>
              </a:defRPr>
            </a:pP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0.1023017902813299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0.1023017902813299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square"/>
          <c:size val="5"/>
          <c:spPr>
            <a:solidFill>
              <a:schemeClr val="accent2"/>
            </a:solidFill>
            <a:ln w="95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2"/>
            </a:solidFill>
            <a:round/>
          </a:ln>
          <a:effectLst/>
        </c:spPr>
        <c:marker>
          <c:symbol val="square"/>
          <c:size val="5"/>
          <c:spPr>
            <a:solidFill>
              <a:schemeClr val="accent2"/>
            </a:solidFill>
            <a:ln w="9525">
              <a:noFill/>
              <a:round/>
            </a:ln>
            <a:effectLst/>
          </c:spPr>
        </c:marker>
      </c:pivotFmt>
    </c:pivotFmts>
    <c:plotArea>
      <c:layout>
        <c:manualLayout>
          <c:layoutTarget val="inner"/>
          <c:xMode val="edge"/>
          <c:yMode val="edge"/>
          <c:x val="0.17258016660960859"/>
          <c:y val="0.21216055803860281"/>
          <c:w val="0.66484805767565502"/>
          <c:h val="0.71241542723826201"/>
        </c:manualLayout>
      </c:layout>
      <c:barChart>
        <c:barDir val="col"/>
        <c:grouping val="clustered"/>
        <c:varyColors val="0"/>
        <c:ser>
          <c:idx val="0"/>
          <c:order val="0"/>
          <c:tx>
            <c:strRef>
              <c:f>Sheet7!$B$3</c:f>
              <c:strCache>
                <c:ptCount val="1"/>
                <c:pt idx="0">
                  <c:v>Sum of Revenue</c:v>
                </c:pt>
              </c:strCache>
            </c:strRef>
          </c:tx>
          <c:spPr>
            <a:solidFill>
              <a:schemeClr val="accent1">
                <a:lumMod val="50000"/>
              </a:schemeClr>
            </a:solidFill>
            <a:ln>
              <a:noFill/>
            </a:ln>
            <a:effectLst/>
          </c:spPr>
          <c:invertIfNegative val="0"/>
          <c:cat>
            <c:strRef>
              <c:f>Sheet7!$A$4:$A$9</c:f>
              <c:strCache>
                <c:ptCount val="5"/>
                <c:pt idx="0">
                  <c:v>Phone</c:v>
                </c:pt>
                <c:pt idx="1">
                  <c:v>Tablet</c:v>
                </c:pt>
                <c:pt idx="2">
                  <c:v>Laptop</c:v>
                </c:pt>
                <c:pt idx="3">
                  <c:v>Desk</c:v>
                </c:pt>
                <c:pt idx="4">
                  <c:v>Chair</c:v>
                </c:pt>
              </c:strCache>
            </c:strRef>
          </c:cat>
          <c:val>
            <c:numRef>
              <c:f>Sheet7!$B$4:$B$9</c:f>
              <c:numCache>
                <c:formatCode>General</c:formatCode>
                <c:ptCount val="5"/>
                <c:pt idx="0">
                  <c:v>41400</c:v>
                </c:pt>
                <c:pt idx="1">
                  <c:v>22400</c:v>
                </c:pt>
                <c:pt idx="2">
                  <c:v>19200</c:v>
                </c:pt>
                <c:pt idx="3">
                  <c:v>9900</c:v>
                </c:pt>
                <c:pt idx="4">
                  <c:v>9200</c:v>
                </c:pt>
              </c:numCache>
            </c:numRef>
          </c:val>
          <c:extLst>
            <c:ext xmlns:c16="http://schemas.microsoft.com/office/drawing/2014/chart" uri="{C3380CC4-5D6E-409C-BE32-E72D297353CC}">
              <c16:uniqueId val="{00000000-C70C-47D8-9EE8-0A9E8FCE096E}"/>
            </c:ext>
          </c:extLst>
        </c:ser>
        <c:dLbls>
          <c:showLegendKey val="0"/>
          <c:showVal val="0"/>
          <c:showCatName val="0"/>
          <c:showSerName val="0"/>
          <c:showPercent val="0"/>
          <c:showBubbleSize val="0"/>
        </c:dLbls>
        <c:gapWidth val="11"/>
        <c:overlap val="-27"/>
        <c:axId val="537179064"/>
        <c:axId val="537180504"/>
      </c:barChart>
      <c:lineChart>
        <c:grouping val="standard"/>
        <c:varyColors val="0"/>
        <c:ser>
          <c:idx val="1"/>
          <c:order val="1"/>
          <c:tx>
            <c:strRef>
              <c:f>Sheet7!$C$3</c:f>
              <c:strCache>
                <c:ptCount val="1"/>
                <c:pt idx="0">
                  <c:v>Sum of Total Profit Margin</c:v>
                </c:pt>
              </c:strCache>
            </c:strRef>
          </c:tx>
          <c:spPr>
            <a:ln w="31750" cap="rnd">
              <a:solidFill>
                <a:schemeClr val="accent2"/>
              </a:solidFill>
              <a:round/>
            </a:ln>
            <a:effectLst/>
          </c:spPr>
          <c:marker>
            <c:symbol val="square"/>
            <c:size val="5"/>
            <c:spPr>
              <a:solidFill>
                <a:schemeClr val="accent2"/>
              </a:solidFill>
              <a:ln w="9525">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Phone</c:v>
                </c:pt>
                <c:pt idx="1">
                  <c:v>Tablet</c:v>
                </c:pt>
                <c:pt idx="2">
                  <c:v>Laptop</c:v>
                </c:pt>
                <c:pt idx="3">
                  <c:v>Desk</c:v>
                </c:pt>
                <c:pt idx="4">
                  <c:v>Chair</c:v>
                </c:pt>
              </c:strCache>
            </c:strRef>
          </c:cat>
          <c:val>
            <c:numRef>
              <c:f>Sheet7!$C$4:$C$9</c:f>
              <c:numCache>
                <c:formatCode>0.0%</c:formatCode>
                <c:ptCount val="5"/>
                <c:pt idx="0">
                  <c:v>0.27777777777777779</c:v>
                </c:pt>
                <c:pt idx="1">
                  <c:v>0.32142857142857145</c:v>
                </c:pt>
                <c:pt idx="2">
                  <c:v>0.21875</c:v>
                </c:pt>
                <c:pt idx="3">
                  <c:v>0.33333333333333331</c:v>
                </c:pt>
                <c:pt idx="4">
                  <c:v>0.45</c:v>
                </c:pt>
              </c:numCache>
            </c:numRef>
          </c:val>
          <c:smooth val="0"/>
          <c:extLst>
            <c:ext xmlns:c16="http://schemas.microsoft.com/office/drawing/2014/chart" uri="{C3380CC4-5D6E-409C-BE32-E72D297353CC}">
              <c16:uniqueId val="{00000002-C70C-47D8-9EE8-0A9E8FCE096E}"/>
            </c:ext>
          </c:extLst>
        </c:ser>
        <c:dLbls>
          <c:showLegendKey val="0"/>
          <c:showVal val="0"/>
          <c:showCatName val="0"/>
          <c:showSerName val="0"/>
          <c:showPercent val="0"/>
          <c:showBubbleSize val="0"/>
        </c:dLbls>
        <c:marker val="1"/>
        <c:smooth val="0"/>
        <c:axId val="537184464"/>
        <c:axId val="537184824"/>
      </c:lineChart>
      <c:catAx>
        <c:axId val="537179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80504"/>
        <c:crosses val="autoZero"/>
        <c:auto val="1"/>
        <c:lblAlgn val="ctr"/>
        <c:lblOffset val="100"/>
        <c:noMultiLvlLbl val="0"/>
      </c:catAx>
      <c:valAx>
        <c:axId val="537180504"/>
        <c:scaling>
          <c:orientation val="minMax"/>
          <c:max val="450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79064"/>
        <c:crosses val="autoZero"/>
        <c:crossBetween val="between"/>
      </c:valAx>
      <c:valAx>
        <c:axId val="53718482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84464"/>
        <c:crosses val="max"/>
        <c:crossBetween val="between"/>
      </c:valAx>
      <c:catAx>
        <c:axId val="537184464"/>
        <c:scaling>
          <c:orientation val="minMax"/>
        </c:scaling>
        <c:delete val="1"/>
        <c:axPos val="b"/>
        <c:numFmt formatCode="General" sourceLinked="1"/>
        <c:majorTickMark val="out"/>
        <c:minorTickMark val="none"/>
        <c:tickLblPos val="nextTo"/>
        <c:crossAx val="537184824"/>
        <c:crosses val="autoZero"/>
        <c:auto val="1"/>
        <c:lblAlgn val="ctr"/>
        <c:lblOffset val="100"/>
        <c:noMultiLvlLbl val="0"/>
      </c:cat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Analysis.xlsx]Sheet4!PivotTable4</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4759405074364"/>
          <c:y val="7.39457095840481E-2"/>
          <c:w val="0.43707217847769031"/>
          <c:h val="0.84231878024514162"/>
        </c:manualLayout>
      </c:layout>
      <c:barChart>
        <c:barDir val="col"/>
        <c:grouping val="clustered"/>
        <c:varyColors val="0"/>
        <c:ser>
          <c:idx val="0"/>
          <c:order val="0"/>
          <c:tx>
            <c:strRef>
              <c:f>Sheet4!$B$5</c:f>
              <c:strCache>
                <c:ptCount val="1"/>
                <c:pt idx="0">
                  <c:v>Total Revenue</c:v>
                </c:pt>
              </c:strCache>
            </c:strRef>
          </c:tx>
          <c:spPr>
            <a:solidFill>
              <a:schemeClr val="accent1"/>
            </a:solidFill>
            <a:ln>
              <a:noFill/>
            </a:ln>
            <a:effectLst/>
          </c:spPr>
          <c:invertIfNegative val="0"/>
          <c:cat>
            <c:strRef>
              <c:f>Sheet4!$A$6:$A$10</c:f>
              <c:strCache>
                <c:ptCount val="4"/>
                <c:pt idx="0">
                  <c:v>West</c:v>
                </c:pt>
                <c:pt idx="1">
                  <c:v>East</c:v>
                </c:pt>
                <c:pt idx="2">
                  <c:v>North</c:v>
                </c:pt>
                <c:pt idx="3">
                  <c:v>South</c:v>
                </c:pt>
              </c:strCache>
            </c:strRef>
          </c:cat>
          <c:val>
            <c:numRef>
              <c:f>Sheet4!$B$6:$B$10</c:f>
              <c:numCache>
                <c:formatCode>General</c:formatCode>
                <c:ptCount val="4"/>
                <c:pt idx="0">
                  <c:v>32600</c:v>
                </c:pt>
                <c:pt idx="1">
                  <c:v>27800</c:v>
                </c:pt>
                <c:pt idx="2">
                  <c:v>24300</c:v>
                </c:pt>
                <c:pt idx="3">
                  <c:v>17400</c:v>
                </c:pt>
              </c:numCache>
            </c:numRef>
          </c:val>
          <c:extLst>
            <c:ext xmlns:c16="http://schemas.microsoft.com/office/drawing/2014/chart" uri="{C3380CC4-5D6E-409C-BE32-E72D297353CC}">
              <c16:uniqueId val="{00000000-7EF7-45B6-8DBA-FFD74415CEFF}"/>
            </c:ext>
          </c:extLst>
        </c:ser>
        <c:dLbls>
          <c:showLegendKey val="0"/>
          <c:showVal val="0"/>
          <c:showCatName val="0"/>
          <c:showSerName val="0"/>
          <c:showPercent val="0"/>
          <c:showBubbleSize val="0"/>
        </c:dLbls>
        <c:gapWidth val="219"/>
        <c:overlap val="-27"/>
        <c:axId val="414776696"/>
        <c:axId val="414784616"/>
      </c:barChart>
      <c:lineChart>
        <c:grouping val="standard"/>
        <c:varyColors val="0"/>
        <c:ser>
          <c:idx val="1"/>
          <c:order val="1"/>
          <c:tx>
            <c:strRef>
              <c:f>Sheet4!$C$5</c:f>
              <c:strCache>
                <c:ptCount val="1"/>
                <c:pt idx="0">
                  <c:v> Profit Margin</c:v>
                </c:pt>
              </c:strCache>
            </c:strRef>
          </c:tx>
          <c:spPr>
            <a:ln w="28575" cap="rnd">
              <a:solidFill>
                <a:schemeClr val="accent2"/>
              </a:solidFill>
              <a:round/>
            </a:ln>
            <a:effectLst/>
          </c:spPr>
          <c:marker>
            <c:symbol val="none"/>
          </c:marker>
          <c:cat>
            <c:strRef>
              <c:f>Sheet4!$A$6:$A$10</c:f>
              <c:strCache>
                <c:ptCount val="4"/>
                <c:pt idx="0">
                  <c:v>West</c:v>
                </c:pt>
                <c:pt idx="1">
                  <c:v>East</c:v>
                </c:pt>
                <c:pt idx="2">
                  <c:v>North</c:v>
                </c:pt>
                <c:pt idx="3">
                  <c:v>South</c:v>
                </c:pt>
              </c:strCache>
            </c:strRef>
          </c:cat>
          <c:val>
            <c:numRef>
              <c:f>Sheet4!$C$6:$C$10</c:f>
              <c:numCache>
                <c:formatCode>0.0%</c:formatCode>
                <c:ptCount val="4"/>
                <c:pt idx="0">
                  <c:v>0.28374233128834359</c:v>
                </c:pt>
                <c:pt idx="1">
                  <c:v>0.29640287769784174</c:v>
                </c:pt>
                <c:pt idx="2">
                  <c:v>0.29012345679012347</c:v>
                </c:pt>
                <c:pt idx="3">
                  <c:v>0.33333333333333331</c:v>
                </c:pt>
              </c:numCache>
            </c:numRef>
          </c:val>
          <c:smooth val="0"/>
          <c:extLst>
            <c:ext xmlns:c16="http://schemas.microsoft.com/office/drawing/2014/chart" uri="{C3380CC4-5D6E-409C-BE32-E72D297353CC}">
              <c16:uniqueId val="{00000001-7EF7-45B6-8DBA-FFD74415CEFF}"/>
            </c:ext>
          </c:extLst>
        </c:ser>
        <c:dLbls>
          <c:showLegendKey val="0"/>
          <c:showVal val="0"/>
          <c:showCatName val="0"/>
          <c:showSerName val="0"/>
          <c:showPercent val="0"/>
          <c:showBubbleSize val="0"/>
        </c:dLbls>
        <c:marker val="1"/>
        <c:smooth val="0"/>
        <c:axId val="414791456"/>
        <c:axId val="414790736"/>
      </c:lineChart>
      <c:catAx>
        <c:axId val="41477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84616"/>
        <c:crosses val="autoZero"/>
        <c:auto val="1"/>
        <c:lblAlgn val="ctr"/>
        <c:lblOffset val="100"/>
        <c:noMultiLvlLbl val="0"/>
      </c:catAx>
      <c:valAx>
        <c:axId val="414784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76696"/>
        <c:crosses val="autoZero"/>
        <c:crossBetween val="between"/>
      </c:valAx>
      <c:valAx>
        <c:axId val="41479073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91456"/>
        <c:crosses val="max"/>
        <c:crossBetween val="between"/>
      </c:valAx>
      <c:catAx>
        <c:axId val="414791456"/>
        <c:scaling>
          <c:orientation val="minMax"/>
        </c:scaling>
        <c:delete val="1"/>
        <c:axPos val="b"/>
        <c:numFmt formatCode="General" sourceLinked="1"/>
        <c:majorTickMark val="out"/>
        <c:minorTickMark val="none"/>
        <c:tickLblPos val="nextTo"/>
        <c:crossAx val="414790736"/>
        <c:crosses val="autoZero"/>
        <c:auto val="1"/>
        <c:lblAlgn val="ctr"/>
        <c:lblOffset val="100"/>
        <c:noMultiLvlLbl val="0"/>
      </c:catAx>
      <c:spPr>
        <a:noFill/>
        <a:ln>
          <a:noFill/>
        </a:ln>
        <a:effectLst/>
      </c:spPr>
    </c:plotArea>
    <c:legend>
      <c:legendPos val="r"/>
      <c:layout>
        <c:manualLayout>
          <c:xMode val="edge"/>
          <c:yMode val="edge"/>
          <c:x val="0.8170683291837878"/>
          <c:y val="0.4220098385639976"/>
          <c:w val="0.1520833417673691"/>
          <c:h val="0.15598032287200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Salse Rep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Sara</c:v>
                </c:pt>
                <c:pt idx="1">
                  <c:v>Ali</c:v>
                </c:pt>
                <c:pt idx="2">
                  <c:v>Omar</c:v>
                </c:pt>
                <c:pt idx="3">
                  <c:v>Nora</c:v>
                </c:pt>
              </c:strCache>
            </c:strRef>
          </c:cat>
          <c:val>
            <c:numRef>
              <c:f>Sheet5!$B$4:$B$8</c:f>
              <c:numCache>
                <c:formatCode>#,##0</c:formatCode>
                <c:ptCount val="4"/>
                <c:pt idx="0">
                  <c:v>32600</c:v>
                </c:pt>
                <c:pt idx="1">
                  <c:v>27800</c:v>
                </c:pt>
                <c:pt idx="2">
                  <c:v>24300</c:v>
                </c:pt>
                <c:pt idx="3">
                  <c:v>17400</c:v>
                </c:pt>
              </c:numCache>
            </c:numRef>
          </c:val>
          <c:extLst>
            <c:ext xmlns:c16="http://schemas.microsoft.com/office/drawing/2014/chart" uri="{C3380CC4-5D6E-409C-BE32-E72D297353CC}">
              <c16:uniqueId val="{00000000-41BE-4C61-A977-7769AEE670C2}"/>
            </c:ext>
          </c:extLst>
        </c:ser>
        <c:dLbls>
          <c:dLblPos val="outEnd"/>
          <c:showLegendKey val="0"/>
          <c:showVal val="1"/>
          <c:showCatName val="0"/>
          <c:showSerName val="0"/>
          <c:showPercent val="0"/>
          <c:showBubbleSize val="0"/>
        </c:dLbls>
        <c:gapWidth val="182"/>
        <c:axId val="605615472"/>
        <c:axId val="605617272"/>
      </c:barChart>
      <c:catAx>
        <c:axId val="60561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17272"/>
        <c:crosses val="autoZero"/>
        <c:auto val="1"/>
        <c:lblAlgn val="ctr"/>
        <c:lblOffset val="100"/>
        <c:noMultiLvlLbl val="0"/>
      </c:catAx>
      <c:valAx>
        <c:axId val="605617272"/>
        <c:scaling>
          <c:orientation val="minMax"/>
        </c:scaling>
        <c:delete val="1"/>
        <c:axPos val="t"/>
        <c:numFmt formatCode="#,##0" sourceLinked="1"/>
        <c:majorTickMark val="none"/>
        <c:minorTickMark val="none"/>
        <c:tickLblPos val="nextTo"/>
        <c:crossAx val="60561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Analysis.xlsx]Sheet7!PivotTable6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0.1023017902813299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8055555555555552"/>
          <c:w val="0.79087970253718287"/>
          <c:h val="0.71241542723826201"/>
        </c:manualLayout>
      </c:layout>
      <c:barChart>
        <c:barDir val="col"/>
        <c:grouping val="clustered"/>
        <c:varyColors val="0"/>
        <c:ser>
          <c:idx val="0"/>
          <c:order val="0"/>
          <c:tx>
            <c:strRef>
              <c:f>Sheet7!$B$3</c:f>
              <c:strCache>
                <c:ptCount val="1"/>
                <c:pt idx="0">
                  <c:v>Sum of Revenue</c:v>
                </c:pt>
              </c:strCache>
            </c:strRef>
          </c:tx>
          <c:spPr>
            <a:solidFill>
              <a:schemeClr val="accent1"/>
            </a:solidFill>
            <a:ln>
              <a:noFill/>
            </a:ln>
            <a:effectLst/>
          </c:spPr>
          <c:invertIfNegative val="0"/>
          <c:cat>
            <c:strRef>
              <c:f>Sheet7!$A$4:$A$9</c:f>
              <c:strCache>
                <c:ptCount val="5"/>
                <c:pt idx="0">
                  <c:v>Phone</c:v>
                </c:pt>
                <c:pt idx="1">
                  <c:v>Tablet</c:v>
                </c:pt>
                <c:pt idx="2">
                  <c:v>Laptop</c:v>
                </c:pt>
                <c:pt idx="3">
                  <c:v>Desk</c:v>
                </c:pt>
                <c:pt idx="4">
                  <c:v>Chair</c:v>
                </c:pt>
              </c:strCache>
            </c:strRef>
          </c:cat>
          <c:val>
            <c:numRef>
              <c:f>Sheet7!$B$4:$B$9</c:f>
              <c:numCache>
                <c:formatCode>General</c:formatCode>
                <c:ptCount val="5"/>
                <c:pt idx="0">
                  <c:v>41400</c:v>
                </c:pt>
                <c:pt idx="1">
                  <c:v>22400</c:v>
                </c:pt>
                <c:pt idx="2">
                  <c:v>19200</c:v>
                </c:pt>
                <c:pt idx="3">
                  <c:v>9900</c:v>
                </c:pt>
                <c:pt idx="4">
                  <c:v>9200</c:v>
                </c:pt>
              </c:numCache>
            </c:numRef>
          </c:val>
          <c:extLst>
            <c:ext xmlns:c16="http://schemas.microsoft.com/office/drawing/2014/chart" uri="{C3380CC4-5D6E-409C-BE32-E72D297353CC}">
              <c16:uniqueId val="{00000000-7BA7-4284-82BD-FD72A8A52347}"/>
            </c:ext>
          </c:extLst>
        </c:ser>
        <c:dLbls>
          <c:showLegendKey val="0"/>
          <c:showVal val="0"/>
          <c:showCatName val="0"/>
          <c:showSerName val="0"/>
          <c:showPercent val="0"/>
          <c:showBubbleSize val="0"/>
        </c:dLbls>
        <c:gapWidth val="219"/>
        <c:overlap val="-27"/>
        <c:axId val="537179064"/>
        <c:axId val="537180504"/>
      </c:barChart>
      <c:lineChart>
        <c:grouping val="standard"/>
        <c:varyColors val="0"/>
        <c:ser>
          <c:idx val="1"/>
          <c:order val="1"/>
          <c:tx>
            <c:strRef>
              <c:f>Sheet7!$C$3</c:f>
              <c:strCache>
                <c:ptCount val="1"/>
                <c:pt idx="0">
                  <c:v>Sum of Total Profit Margin</c:v>
                </c:pt>
              </c:strCache>
            </c:strRef>
          </c:tx>
          <c:spPr>
            <a:ln w="28575" cap="rnd">
              <a:solidFill>
                <a:schemeClr val="accent2"/>
              </a:solidFill>
              <a:round/>
            </a:ln>
            <a:effectLst/>
          </c:spPr>
          <c:marker>
            <c:symbol val="none"/>
          </c:marker>
          <c:dPt>
            <c:idx val="4"/>
            <c:marker>
              <c:symbol val="none"/>
            </c:marker>
            <c:bubble3D val="0"/>
            <c:extLst>
              <c:ext xmlns:c16="http://schemas.microsoft.com/office/drawing/2014/chart" uri="{C3380CC4-5D6E-409C-BE32-E72D297353CC}">
                <c16:uniqueId val="{00000003-7BA7-4284-82BD-FD72A8A52347}"/>
              </c:ext>
            </c:extLst>
          </c:dPt>
          <c:dLbls>
            <c:dLbl>
              <c:idx val="4"/>
              <c:layout>
                <c:manualLayout>
                  <c:x val="-0.10230179028132992"/>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A7-4284-82BD-FD72A8A523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Phone</c:v>
                </c:pt>
                <c:pt idx="1">
                  <c:v>Tablet</c:v>
                </c:pt>
                <c:pt idx="2">
                  <c:v>Laptop</c:v>
                </c:pt>
                <c:pt idx="3">
                  <c:v>Desk</c:v>
                </c:pt>
                <c:pt idx="4">
                  <c:v>Chair</c:v>
                </c:pt>
              </c:strCache>
            </c:strRef>
          </c:cat>
          <c:val>
            <c:numRef>
              <c:f>Sheet7!$C$4:$C$9</c:f>
              <c:numCache>
                <c:formatCode>0.0%</c:formatCode>
                <c:ptCount val="5"/>
                <c:pt idx="0">
                  <c:v>0.27777777777777779</c:v>
                </c:pt>
                <c:pt idx="1">
                  <c:v>0.32142857142857145</c:v>
                </c:pt>
                <c:pt idx="2">
                  <c:v>0.21875</c:v>
                </c:pt>
                <c:pt idx="3">
                  <c:v>0.33333333333333331</c:v>
                </c:pt>
                <c:pt idx="4">
                  <c:v>0.45</c:v>
                </c:pt>
              </c:numCache>
            </c:numRef>
          </c:val>
          <c:smooth val="0"/>
          <c:extLst>
            <c:ext xmlns:c16="http://schemas.microsoft.com/office/drawing/2014/chart" uri="{C3380CC4-5D6E-409C-BE32-E72D297353CC}">
              <c16:uniqueId val="{00000001-7BA7-4284-82BD-FD72A8A52347}"/>
            </c:ext>
          </c:extLst>
        </c:ser>
        <c:dLbls>
          <c:showLegendKey val="0"/>
          <c:showVal val="0"/>
          <c:showCatName val="0"/>
          <c:showSerName val="0"/>
          <c:showPercent val="0"/>
          <c:showBubbleSize val="0"/>
        </c:dLbls>
        <c:marker val="1"/>
        <c:smooth val="0"/>
        <c:axId val="537184464"/>
        <c:axId val="537184824"/>
      </c:lineChart>
      <c:catAx>
        <c:axId val="537179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80504"/>
        <c:crosses val="autoZero"/>
        <c:auto val="1"/>
        <c:lblAlgn val="ctr"/>
        <c:lblOffset val="100"/>
        <c:noMultiLvlLbl val="0"/>
      </c:catAx>
      <c:valAx>
        <c:axId val="537180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79064"/>
        <c:crosses val="autoZero"/>
        <c:crossBetween val="between"/>
      </c:valAx>
      <c:valAx>
        <c:axId val="53718482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84464"/>
        <c:crosses val="max"/>
        <c:crossBetween val="between"/>
      </c:valAx>
      <c:catAx>
        <c:axId val="537184464"/>
        <c:scaling>
          <c:orientation val="minMax"/>
        </c:scaling>
        <c:delete val="1"/>
        <c:axPos val="b"/>
        <c:numFmt formatCode="General" sourceLinked="1"/>
        <c:majorTickMark val="out"/>
        <c:minorTickMark val="none"/>
        <c:tickLblPos val="nextTo"/>
        <c:crossAx val="5371848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Analysis.xlsx]Sheet8!PivotTable7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Catagory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068088363954506E-2"/>
              <c:y val="0.127852508019830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19050">
            <a:solidFill>
              <a:schemeClr val="lt1"/>
            </a:solidFill>
          </a:ln>
          <a:effectLst/>
        </c:spPr>
        <c:dLbl>
          <c:idx val="0"/>
          <c:layout>
            <c:manualLayout>
              <c:x val="-8.1308180227471674E-2"/>
              <c:y val="-0.251552930883639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Sheet8!$B$3</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91E8-4B53-86DA-926D62592C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E8-4B53-86DA-926D62592C25}"/>
              </c:ext>
            </c:extLst>
          </c:dPt>
          <c:dLbls>
            <c:dLbl>
              <c:idx val="0"/>
              <c:layout>
                <c:manualLayout>
                  <c:x val="-8.1308180227471674E-2"/>
                  <c:y val="-0.2515529308836395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E8-4B53-86DA-926D62592C25}"/>
                </c:ext>
              </c:extLst>
            </c:dLbl>
            <c:dLbl>
              <c:idx val="1"/>
              <c:layout>
                <c:manualLayout>
                  <c:x val="9.068088363954506E-2"/>
                  <c:y val="0.127852508019830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E8-4B53-86DA-926D62592C2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Electronics</c:v>
                </c:pt>
                <c:pt idx="1">
                  <c:v>Furniture</c:v>
                </c:pt>
              </c:strCache>
            </c:strRef>
          </c:cat>
          <c:val>
            <c:numRef>
              <c:f>Sheet8!$B$4:$B$6</c:f>
              <c:numCache>
                <c:formatCode>0.00%</c:formatCode>
                <c:ptCount val="2"/>
                <c:pt idx="0">
                  <c:v>0.81292850146914786</c:v>
                </c:pt>
                <c:pt idx="1">
                  <c:v>0.18707149853085211</c:v>
                </c:pt>
              </c:numCache>
            </c:numRef>
          </c:val>
          <c:extLst>
            <c:ext xmlns:c16="http://schemas.microsoft.com/office/drawing/2014/chart" uri="{C3380CC4-5D6E-409C-BE32-E72D297353CC}">
              <c16:uniqueId val="{00000004-3CA9-4F0E-930B-F9DD3AF3731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Analysis.xlsx]Sheet9!PivotTable2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Sheet9!$B$10</c:f>
              <c:strCache>
                <c:ptCount val="1"/>
                <c:pt idx="0">
                  <c:v>Total</c:v>
                </c:pt>
              </c:strCache>
            </c:strRef>
          </c:tx>
          <c:spPr>
            <a:ln w="28575" cap="rnd">
              <a:solidFill>
                <a:schemeClr val="accent1"/>
              </a:solidFill>
              <a:round/>
            </a:ln>
            <a:effectLst/>
          </c:spPr>
          <c:marker>
            <c:symbol val="none"/>
          </c:marker>
          <c:cat>
            <c:strRef>
              <c:f>Sheet9!$A$11:$A$31</c:f>
              <c:strCache>
                <c:ptCount val="20"/>
                <c:pt idx="0">
                  <c:v>2/8/2026</c:v>
                </c:pt>
                <c:pt idx="1">
                  <c:v>1/20/2026</c:v>
                </c:pt>
                <c:pt idx="2">
                  <c:v>2/24/2026</c:v>
                </c:pt>
                <c:pt idx="3">
                  <c:v>1/5/2026</c:v>
                </c:pt>
                <c:pt idx="4">
                  <c:v>2/21/2026</c:v>
                </c:pt>
                <c:pt idx="5">
                  <c:v>1/11/2026</c:v>
                </c:pt>
                <c:pt idx="6">
                  <c:v>2/16/2026</c:v>
                </c:pt>
                <c:pt idx="7">
                  <c:v>1/3/2026</c:v>
                </c:pt>
                <c:pt idx="8">
                  <c:v>2/1/2026</c:v>
                </c:pt>
                <c:pt idx="9">
                  <c:v>1/22/2026</c:v>
                </c:pt>
                <c:pt idx="10">
                  <c:v>2/10/2026</c:v>
                </c:pt>
                <c:pt idx="11">
                  <c:v>2/18/2026</c:v>
                </c:pt>
                <c:pt idx="12">
                  <c:v>1/8/2026</c:v>
                </c:pt>
                <c:pt idx="13">
                  <c:v>1/6/2026</c:v>
                </c:pt>
                <c:pt idx="14">
                  <c:v>1/15/2026</c:v>
                </c:pt>
                <c:pt idx="15">
                  <c:v>2/4/2026</c:v>
                </c:pt>
                <c:pt idx="16">
                  <c:v>1/13/2026</c:v>
                </c:pt>
                <c:pt idx="17">
                  <c:v>2/14/2026</c:v>
                </c:pt>
                <c:pt idx="18">
                  <c:v>1/18/2026</c:v>
                </c:pt>
                <c:pt idx="19">
                  <c:v>2/6/2026</c:v>
                </c:pt>
              </c:strCache>
            </c:strRef>
          </c:cat>
          <c:val>
            <c:numRef>
              <c:f>Sheet9!$B$11:$B$31</c:f>
              <c:numCache>
                <c:formatCode>0.0%</c:formatCode>
                <c:ptCount val="20"/>
                <c:pt idx="0">
                  <c:v>0.27777777777777779</c:v>
                </c:pt>
                <c:pt idx="1">
                  <c:v>0.27777777777777779</c:v>
                </c:pt>
                <c:pt idx="2">
                  <c:v>0.32142857142857145</c:v>
                </c:pt>
                <c:pt idx="3">
                  <c:v>0.27777777777777779</c:v>
                </c:pt>
                <c:pt idx="4">
                  <c:v>0.27777777777777779</c:v>
                </c:pt>
                <c:pt idx="5">
                  <c:v>0.32142857142857145</c:v>
                </c:pt>
                <c:pt idx="6">
                  <c:v>0.45</c:v>
                </c:pt>
                <c:pt idx="7">
                  <c:v>0.21875</c:v>
                </c:pt>
                <c:pt idx="8">
                  <c:v>0.21875</c:v>
                </c:pt>
                <c:pt idx="9">
                  <c:v>0.32142857142857145</c:v>
                </c:pt>
                <c:pt idx="10">
                  <c:v>0.32142857142857145</c:v>
                </c:pt>
                <c:pt idx="11">
                  <c:v>0.33333333333333331</c:v>
                </c:pt>
                <c:pt idx="12">
                  <c:v>0.45</c:v>
                </c:pt>
                <c:pt idx="13">
                  <c:v>0.33333333333333331</c:v>
                </c:pt>
                <c:pt idx="14">
                  <c:v>0.45</c:v>
                </c:pt>
                <c:pt idx="15">
                  <c:v>0.45</c:v>
                </c:pt>
                <c:pt idx="16">
                  <c:v>0.21875</c:v>
                </c:pt>
                <c:pt idx="17">
                  <c:v>0.21875</c:v>
                </c:pt>
                <c:pt idx="18">
                  <c:v>0.33333333333333331</c:v>
                </c:pt>
                <c:pt idx="19">
                  <c:v>0.33333333333333331</c:v>
                </c:pt>
              </c:numCache>
            </c:numRef>
          </c:val>
          <c:smooth val="0"/>
          <c:extLst>
            <c:ext xmlns:c16="http://schemas.microsoft.com/office/drawing/2014/chart" uri="{C3380CC4-5D6E-409C-BE32-E72D297353CC}">
              <c16:uniqueId val="{00000000-2AEA-4B1D-8123-F35FA116342F}"/>
            </c:ext>
          </c:extLst>
        </c:ser>
        <c:dLbls>
          <c:showLegendKey val="0"/>
          <c:showVal val="0"/>
          <c:showCatName val="0"/>
          <c:showSerName val="0"/>
          <c:showPercent val="0"/>
          <c:showBubbleSize val="0"/>
        </c:dLbls>
        <c:smooth val="0"/>
        <c:axId val="1161237448"/>
        <c:axId val="1161243928"/>
      </c:lineChart>
      <c:catAx>
        <c:axId val="116123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43928"/>
        <c:crosses val="autoZero"/>
        <c:auto val="1"/>
        <c:lblAlgn val="ctr"/>
        <c:lblOffset val="100"/>
        <c:noMultiLvlLbl val="0"/>
      </c:catAx>
      <c:valAx>
        <c:axId val="1161243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37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219605</xdr:colOff>
      <xdr:row>27</xdr:row>
      <xdr:rowOff>87311</xdr:rowOff>
    </xdr:from>
    <xdr:to>
      <xdr:col>13</xdr:col>
      <xdr:colOff>488156</xdr:colOff>
      <xdr:row>39</xdr:row>
      <xdr:rowOff>35718</xdr:rowOff>
    </xdr:to>
    <xdr:graphicFrame macro="">
      <xdr:nvGraphicFramePr>
        <xdr:cNvPr id="4" name="Chart 3">
          <a:extLst>
            <a:ext uri="{FF2B5EF4-FFF2-40B4-BE49-F238E27FC236}">
              <a16:creationId xmlns:a16="http://schemas.microsoft.com/office/drawing/2014/main" id="{CA56C19C-8C48-4C70-AF17-EFF7CE068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198171</xdr:colOff>
      <xdr:row>9</xdr:row>
      <xdr:rowOff>47626</xdr:rowOff>
    </xdr:from>
    <xdr:to>
      <xdr:col>10</xdr:col>
      <xdr:colOff>29578</xdr:colOff>
      <xdr:row>26</xdr:row>
      <xdr:rowOff>100966</xdr:rowOff>
    </xdr:to>
    <xdr:graphicFrame macro="">
      <xdr:nvGraphicFramePr>
        <xdr:cNvPr id="20" name="Chart 19">
          <a:extLst>
            <a:ext uri="{FF2B5EF4-FFF2-40B4-BE49-F238E27FC236}">
              <a16:creationId xmlns:a16="http://schemas.microsoft.com/office/drawing/2014/main" id="{FD498685-BBA0-4CF0-8D33-19A112BA1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138904</xdr:rowOff>
    </xdr:from>
    <xdr:to>
      <xdr:col>6</xdr:col>
      <xdr:colOff>547687</xdr:colOff>
      <xdr:row>5</xdr:row>
      <xdr:rowOff>149488</xdr:rowOff>
    </xdr:to>
    <xdr:sp macro="" textlink="">
      <xdr:nvSpPr>
        <xdr:cNvPr id="54" name="TextBox 53">
          <a:extLst>
            <a:ext uri="{FF2B5EF4-FFF2-40B4-BE49-F238E27FC236}">
              <a16:creationId xmlns:a16="http://schemas.microsoft.com/office/drawing/2014/main" id="{6AFF5C03-7AAC-8BD8-5979-41180CCE79AD}"/>
            </a:ext>
          </a:extLst>
        </xdr:cNvPr>
        <xdr:cNvSpPr txBox="1"/>
      </xdr:nvSpPr>
      <xdr:spPr>
        <a:xfrm>
          <a:off x="0" y="329404"/>
          <a:ext cx="4191000" cy="772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rgbClr val="002060"/>
              </a:solidFill>
            </a:rPr>
            <a:t>Sales Performance</a:t>
          </a:r>
          <a:r>
            <a:rPr lang="en-US" sz="2400" b="1" baseline="0">
              <a:solidFill>
                <a:srgbClr val="002060"/>
              </a:solidFill>
            </a:rPr>
            <a:t> </a:t>
          </a:r>
          <a:r>
            <a:rPr lang="en-US" sz="24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editAs="oneCell">
    <xdr:from>
      <xdr:col>15</xdr:col>
      <xdr:colOff>253996</xdr:colOff>
      <xdr:row>29</xdr:row>
      <xdr:rowOff>89957</xdr:rowOff>
    </xdr:from>
    <xdr:to>
      <xdr:col>17</xdr:col>
      <xdr:colOff>580757</xdr:colOff>
      <xdr:row>38</xdr:row>
      <xdr:rowOff>23815</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DC2EEE03-8229-2E97-F62C-D247AAD1AD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62277" y="5614457"/>
              <a:ext cx="1541199" cy="1648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179915</xdr:rowOff>
    </xdr:from>
    <xdr:to>
      <xdr:col>6</xdr:col>
      <xdr:colOff>504030</xdr:colOff>
      <xdr:row>4</xdr:row>
      <xdr:rowOff>5294</xdr:rowOff>
    </xdr:to>
    <xdr:cxnSp macro="">
      <xdr:nvCxnSpPr>
        <xdr:cNvPr id="60" name="Straight Connector 59">
          <a:extLst>
            <a:ext uri="{FF2B5EF4-FFF2-40B4-BE49-F238E27FC236}">
              <a16:creationId xmlns:a16="http://schemas.microsoft.com/office/drawing/2014/main" id="{D3A9D834-BB84-0A6C-1304-A842B5623DF5}"/>
            </a:ext>
          </a:extLst>
        </xdr:cNvPr>
        <xdr:cNvCxnSpPr/>
      </xdr:nvCxnSpPr>
      <xdr:spPr>
        <a:xfrm flipV="1">
          <a:off x="0" y="751415"/>
          <a:ext cx="4147343" cy="15879"/>
        </a:xfrm>
        <a:prstGeom prst="line">
          <a:avLst/>
        </a:prstGeom>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195414</xdr:colOff>
      <xdr:row>9</xdr:row>
      <xdr:rowOff>71438</xdr:rowOff>
    </xdr:from>
    <xdr:to>
      <xdr:col>2</xdr:col>
      <xdr:colOff>510266</xdr:colOff>
      <xdr:row>14</xdr:row>
      <xdr:rowOff>121974</xdr:rowOff>
    </xdr:to>
    <xdr:sp macro="" textlink="">
      <xdr:nvSpPr>
        <xdr:cNvPr id="16" name="Rectangle 15">
          <a:extLst>
            <a:ext uri="{FF2B5EF4-FFF2-40B4-BE49-F238E27FC236}">
              <a16:creationId xmlns:a16="http://schemas.microsoft.com/office/drawing/2014/main" id="{61DE9B6C-BFB7-D555-2EEF-273918A774C1}"/>
            </a:ext>
          </a:extLst>
        </xdr:cNvPr>
        <xdr:cNvSpPr/>
      </xdr:nvSpPr>
      <xdr:spPr>
        <a:xfrm>
          <a:off x="195414" y="1785938"/>
          <a:ext cx="1539495" cy="1003036"/>
        </a:xfrm>
        <a:prstGeom prst="rect">
          <a:avLst/>
        </a:prstGeom>
        <a:ln>
          <a:noFill/>
        </a:ln>
        <a:effectLst>
          <a:outerShdw blurRad="50800" dist="38100" dir="5400000" algn="t"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nchorCtr="1"/>
        <a:lstStyle/>
        <a:p>
          <a:pPr algn="ctr"/>
          <a:endParaRPr lang="en-US" sz="1100"/>
        </a:p>
        <a:p>
          <a:pPr algn="ctr"/>
          <a:r>
            <a:rPr lang="en-US" sz="1800">
              <a:solidFill>
                <a:schemeClr val="tx1"/>
              </a:solidFill>
            </a:rPr>
            <a:t>$102,100</a:t>
          </a:r>
        </a:p>
        <a:p>
          <a:pPr algn="ctr"/>
          <a:r>
            <a:rPr lang="en-US" sz="1100">
              <a:solidFill>
                <a:schemeClr val="tx1">
                  <a:lumMod val="50000"/>
                  <a:lumOff val="50000"/>
                </a:schemeClr>
              </a:solidFill>
            </a:rPr>
            <a:t>Total</a:t>
          </a:r>
          <a:r>
            <a:rPr lang="en-US" sz="1100" baseline="0">
              <a:solidFill>
                <a:schemeClr val="tx1">
                  <a:lumMod val="50000"/>
                  <a:lumOff val="50000"/>
                </a:schemeClr>
              </a:solidFill>
            </a:rPr>
            <a:t> Revenue</a:t>
          </a:r>
          <a:endParaRPr lang="en-US" sz="1100">
            <a:solidFill>
              <a:schemeClr val="tx1">
                <a:lumMod val="50000"/>
                <a:lumOff val="50000"/>
              </a:schemeClr>
            </a:solidFill>
          </a:endParaRPr>
        </a:p>
      </xdr:txBody>
    </xdr:sp>
    <xdr:clientData/>
  </xdr:twoCellAnchor>
  <xdr:twoCellAnchor>
    <xdr:from>
      <xdr:col>0</xdr:col>
      <xdr:colOff>156294</xdr:colOff>
      <xdr:row>21</xdr:row>
      <xdr:rowOff>103092</xdr:rowOff>
    </xdr:from>
    <xdr:to>
      <xdr:col>2</xdr:col>
      <xdr:colOff>471146</xdr:colOff>
      <xdr:row>26</xdr:row>
      <xdr:rowOff>153628</xdr:rowOff>
    </xdr:to>
    <xdr:sp macro="" textlink="">
      <xdr:nvSpPr>
        <xdr:cNvPr id="22" name="Rectangle 21">
          <a:extLst>
            <a:ext uri="{FF2B5EF4-FFF2-40B4-BE49-F238E27FC236}">
              <a16:creationId xmlns:a16="http://schemas.microsoft.com/office/drawing/2014/main" id="{3E5F1CBF-2A8A-42DE-B506-DE2C34EC6410}"/>
            </a:ext>
          </a:extLst>
        </xdr:cNvPr>
        <xdr:cNvSpPr/>
      </xdr:nvSpPr>
      <xdr:spPr>
        <a:xfrm>
          <a:off x="156294" y="4103592"/>
          <a:ext cx="1539495" cy="1003036"/>
        </a:xfrm>
        <a:prstGeom prst="rect">
          <a:avLst/>
        </a:prstGeom>
        <a:ln>
          <a:noFill/>
        </a:ln>
        <a:effectLst>
          <a:outerShdw blurRad="50800" dist="38100" dir="5400000" algn="t"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nchorCtr="0"/>
        <a:lstStyle/>
        <a:p>
          <a:pPr algn="ctr"/>
          <a:r>
            <a:rPr lang="en-US" sz="1800">
              <a:solidFill>
                <a:schemeClr val="tx1"/>
              </a:solidFill>
            </a:rPr>
            <a:t>$26,840</a:t>
          </a:r>
        </a:p>
        <a:p>
          <a:pPr algn="ctr"/>
          <a:r>
            <a:rPr lang="en-US" sz="1100">
              <a:solidFill>
                <a:schemeClr val="tx1">
                  <a:lumMod val="50000"/>
                  <a:lumOff val="50000"/>
                </a:schemeClr>
              </a:solidFill>
            </a:rPr>
            <a:t>Total Profit</a:t>
          </a:r>
        </a:p>
      </xdr:txBody>
    </xdr:sp>
    <xdr:clientData/>
  </xdr:twoCellAnchor>
  <xdr:twoCellAnchor>
    <xdr:from>
      <xdr:col>0</xdr:col>
      <xdr:colOff>134182</xdr:colOff>
      <xdr:row>33</xdr:row>
      <xdr:rowOff>134747</xdr:rowOff>
    </xdr:from>
    <xdr:to>
      <xdr:col>2</xdr:col>
      <xdr:colOff>449034</xdr:colOff>
      <xdr:row>38</xdr:row>
      <xdr:rowOff>185283</xdr:rowOff>
    </xdr:to>
    <xdr:sp macro="" textlink="">
      <xdr:nvSpPr>
        <xdr:cNvPr id="59" name="Rectangle 58">
          <a:extLst>
            <a:ext uri="{FF2B5EF4-FFF2-40B4-BE49-F238E27FC236}">
              <a16:creationId xmlns:a16="http://schemas.microsoft.com/office/drawing/2014/main" id="{70E34E23-2CCE-4819-89B0-3FD4AAEF6B51}"/>
            </a:ext>
          </a:extLst>
        </xdr:cNvPr>
        <xdr:cNvSpPr/>
      </xdr:nvSpPr>
      <xdr:spPr>
        <a:xfrm>
          <a:off x="134182" y="6421247"/>
          <a:ext cx="1539495" cy="1003036"/>
        </a:xfrm>
        <a:prstGeom prst="rect">
          <a:avLst/>
        </a:prstGeom>
        <a:ln>
          <a:noFill/>
        </a:ln>
        <a:effectLst>
          <a:outerShdw blurRad="50800" dist="38100" dir="5400000" algn="t"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nchorCtr="0"/>
        <a:lstStyle/>
        <a:p>
          <a:pPr algn="ctr"/>
          <a:r>
            <a:rPr lang="en-US" sz="1800">
              <a:solidFill>
                <a:schemeClr val="tx1"/>
              </a:solidFill>
            </a:rPr>
            <a:t>29.7%</a:t>
          </a:r>
        </a:p>
        <a:p>
          <a:pPr algn="ctr"/>
          <a:r>
            <a:rPr lang="en-US" sz="1100">
              <a:solidFill>
                <a:schemeClr val="tx1">
                  <a:lumMod val="50000"/>
                  <a:lumOff val="50000"/>
                </a:schemeClr>
              </a:solidFill>
            </a:rPr>
            <a:t>Profit Margin</a:t>
          </a:r>
        </a:p>
      </xdr:txBody>
    </xdr:sp>
    <xdr:clientData/>
  </xdr:twoCellAnchor>
  <xdr:oneCellAnchor>
    <xdr:from>
      <xdr:col>0</xdr:col>
      <xdr:colOff>0</xdr:colOff>
      <xdr:row>4</xdr:row>
      <xdr:rowOff>83342</xdr:rowOff>
    </xdr:from>
    <xdr:ext cx="5774530" cy="690563"/>
    <xdr:sp macro="" textlink="">
      <xdr:nvSpPr>
        <xdr:cNvPr id="55" name="TextBox 54">
          <a:extLst>
            <a:ext uri="{FF2B5EF4-FFF2-40B4-BE49-F238E27FC236}">
              <a16:creationId xmlns:a16="http://schemas.microsoft.com/office/drawing/2014/main" id="{BAB766DF-C75F-65A5-048E-46A365FD486F}"/>
            </a:ext>
          </a:extLst>
        </xdr:cNvPr>
        <xdr:cNvSpPr txBox="1"/>
      </xdr:nvSpPr>
      <xdr:spPr>
        <a:xfrm>
          <a:off x="0" y="845342"/>
          <a:ext cx="5774530" cy="690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tx1">
                  <a:lumMod val="75000"/>
                  <a:lumOff val="25000"/>
                </a:schemeClr>
              </a:solidFill>
            </a:rPr>
            <a:t>An</a:t>
          </a:r>
          <a:r>
            <a:rPr lang="en-US" sz="1600" baseline="0">
              <a:solidFill>
                <a:schemeClr val="tx1">
                  <a:lumMod val="75000"/>
                  <a:lumOff val="25000"/>
                </a:schemeClr>
              </a:solidFill>
            </a:rPr>
            <a:t> Interactive sales dashboard analyzing revenue and profit margin across categories, products, regions, and sales reps.</a:t>
          </a:r>
          <a:endParaRPr lang="en-US" sz="1600">
            <a:solidFill>
              <a:schemeClr val="tx1">
                <a:lumMod val="75000"/>
                <a:lumOff val="25000"/>
              </a:schemeClr>
            </a:solidFill>
          </a:endParaRPr>
        </a:p>
      </xdr:txBody>
    </xdr:sp>
    <xdr:clientData/>
  </xdr:oneCellAnchor>
  <xdr:twoCellAnchor>
    <xdr:from>
      <xdr:col>16</xdr:col>
      <xdr:colOff>523875</xdr:colOff>
      <xdr:row>9</xdr:row>
      <xdr:rowOff>35719</xdr:rowOff>
    </xdr:from>
    <xdr:to>
      <xdr:col>22</xdr:col>
      <xdr:colOff>355282</xdr:colOff>
      <xdr:row>26</xdr:row>
      <xdr:rowOff>89059</xdr:rowOff>
    </xdr:to>
    <xdr:graphicFrame macro="">
      <xdr:nvGraphicFramePr>
        <xdr:cNvPr id="64" name="Chart 63">
          <a:extLst>
            <a:ext uri="{FF2B5EF4-FFF2-40B4-BE49-F238E27FC236}">
              <a16:creationId xmlns:a16="http://schemas.microsoft.com/office/drawing/2014/main" id="{6FA804AE-3850-48B0-87C2-586361B1E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281621</xdr:colOff>
      <xdr:row>9</xdr:row>
      <xdr:rowOff>59531</xdr:rowOff>
    </xdr:from>
    <xdr:to>
      <xdr:col>16</xdr:col>
      <xdr:colOff>271833</xdr:colOff>
      <xdr:row>26</xdr:row>
      <xdr:rowOff>112872</xdr:rowOff>
    </xdr:to>
    <xdr:graphicFrame macro="">
      <xdr:nvGraphicFramePr>
        <xdr:cNvPr id="66" name="Chart 65">
          <a:extLst>
            <a:ext uri="{FF2B5EF4-FFF2-40B4-BE49-F238E27FC236}">
              <a16:creationId xmlns:a16="http://schemas.microsoft.com/office/drawing/2014/main" id="{F02C8F4B-46F6-49C6-9488-CA7A85CF7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47625</xdr:colOff>
      <xdr:row>2</xdr:row>
      <xdr:rowOff>142875</xdr:rowOff>
    </xdr:from>
    <xdr:to>
      <xdr:col>11</xdr:col>
      <xdr:colOff>95250</xdr:colOff>
      <xdr:row>17</xdr:row>
      <xdr:rowOff>33337</xdr:rowOff>
    </xdr:to>
    <xdr:graphicFrame macro="">
      <xdr:nvGraphicFramePr>
        <xdr:cNvPr id="4" name="Chart 3">
          <a:extLst>
            <a:ext uri="{FF2B5EF4-FFF2-40B4-BE49-F238E27FC236}">
              <a16:creationId xmlns:a16="http://schemas.microsoft.com/office/drawing/2014/main" id="{181C7BCA-188D-4CEB-25F1-EC96A6203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1</xdr:row>
      <xdr:rowOff>176212</xdr:rowOff>
    </xdr:from>
    <xdr:to>
      <xdr:col>9</xdr:col>
      <xdr:colOff>342900</xdr:colOff>
      <xdr:row>13</xdr:row>
      <xdr:rowOff>104775</xdr:rowOff>
    </xdr:to>
    <xdr:graphicFrame macro="">
      <xdr:nvGraphicFramePr>
        <xdr:cNvPr id="2" name="Chart 1">
          <a:extLst>
            <a:ext uri="{FF2B5EF4-FFF2-40B4-BE49-F238E27FC236}">
              <a16:creationId xmlns:a16="http://schemas.microsoft.com/office/drawing/2014/main" id="{39EB5EC6-6438-72D1-7799-8C257AF82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333375</xdr:colOff>
      <xdr:row>10</xdr:row>
      <xdr:rowOff>23812</xdr:rowOff>
    </xdr:from>
    <xdr:to>
      <xdr:col>9</xdr:col>
      <xdr:colOff>400050</xdr:colOff>
      <xdr:row>24</xdr:row>
      <xdr:rowOff>100012</xdr:rowOff>
    </xdr:to>
    <xdr:graphicFrame macro="">
      <xdr:nvGraphicFramePr>
        <xdr:cNvPr id="3" name="Chart 2">
          <a:extLst>
            <a:ext uri="{FF2B5EF4-FFF2-40B4-BE49-F238E27FC236}">
              <a16:creationId xmlns:a16="http://schemas.microsoft.com/office/drawing/2014/main" id="{82442896-04BB-6BA5-280D-EF17C85AF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57149</xdr:colOff>
      <xdr:row>0</xdr:row>
      <xdr:rowOff>61912</xdr:rowOff>
    </xdr:from>
    <xdr:to>
      <xdr:col>10</xdr:col>
      <xdr:colOff>104774</xdr:colOff>
      <xdr:row>11</xdr:row>
      <xdr:rowOff>161925</xdr:rowOff>
    </xdr:to>
    <xdr:graphicFrame macro="">
      <xdr:nvGraphicFramePr>
        <xdr:cNvPr id="3" name="Chart 2">
          <a:extLst>
            <a:ext uri="{FF2B5EF4-FFF2-40B4-BE49-F238E27FC236}">
              <a16:creationId xmlns:a16="http://schemas.microsoft.com/office/drawing/2014/main" id="{5404534D-48B0-6A4B-0E9A-638715704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390525</xdr:colOff>
      <xdr:row>10</xdr:row>
      <xdr:rowOff>157162</xdr:rowOff>
    </xdr:from>
    <xdr:to>
      <xdr:col>11</xdr:col>
      <xdr:colOff>85725</xdr:colOff>
      <xdr:row>25</xdr:row>
      <xdr:rowOff>42862</xdr:rowOff>
    </xdr:to>
    <xdr:graphicFrame macro="">
      <xdr:nvGraphicFramePr>
        <xdr:cNvPr id="2" name="Chart 1">
          <a:extLst>
            <a:ext uri="{FF2B5EF4-FFF2-40B4-BE49-F238E27FC236}">
              <a16:creationId xmlns:a16="http://schemas.microsoft.com/office/drawing/2014/main" id="{FB52BDA2-9E29-524A-7271-3B0BA53BB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9.573879166666" createdVersion="8" refreshedVersion="8" minRefreshableVersion="3" recordCount="20" xr:uid="{098A4796-EEDF-49DC-9FBF-248688DAD620}">
  <cacheSource type="worksheet">
    <worksheetSource name="Table1"/>
  </cacheSource>
  <cacheFields count="15">
    <cacheField name="Order ID" numFmtId="0">
      <sharedItems containsSemiMixedTypes="0" containsString="0" containsNumber="1" containsInteger="1" minValue="1001" maxValue="1020"/>
    </cacheField>
    <cacheField name="Date" numFmtId="166">
      <sharedItems containsSemiMixedTypes="0" containsNonDate="0" containsDate="1" containsString="0" minDate="2026-01-03T00:00:00" maxDate="2026-02-25T00:00:00" count="20">
        <d v="2026-02-08T00:00:00"/>
        <d v="2026-01-20T00:00:00"/>
        <d v="2026-02-24T00:00:00"/>
        <d v="2026-01-05T00:00:00"/>
        <d v="2026-02-21T00:00:00"/>
        <d v="2026-01-11T00:00:00"/>
        <d v="2026-02-16T00:00:00"/>
        <d v="2026-01-03T00:00:00"/>
        <d v="2026-02-01T00:00:00"/>
        <d v="2026-01-22T00:00:00"/>
        <d v="2026-02-10T00:00:00"/>
        <d v="2026-02-18T00:00:00"/>
        <d v="2026-01-08T00:00:00"/>
        <d v="2026-01-06T00:00:00"/>
        <d v="2026-01-15T00:00:00"/>
        <d v="2026-02-04T00:00:00"/>
        <d v="2026-01-13T00:00:00"/>
        <d v="2026-02-14T00:00:00"/>
        <d v="2026-01-18T00:00:00"/>
        <d v="2026-02-06T00:00:00"/>
      </sharedItems>
    </cacheField>
    <cacheField name="Sales Rep." numFmtId="0">
      <sharedItems count="4">
        <s v="Sara"/>
        <s v="Ali"/>
        <s v="Nora"/>
        <s v="Omar"/>
      </sharedItems>
    </cacheField>
    <cacheField name="Region" numFmtId="0">
      <sharedItems count="4">
        <s v="West"/>
        <s v="East"/>
        <s v="South"/>
        <s v="North"/>
      </sharedItems>
    </cacheField>
    <cacheField name="Product" numFmtId="0">
      <sharedItems count="5">
        <s v="Phone"/>
        <s v="Tablet"/>
        <s v="Chair"/>
        <s v="Laptop"/>
        <s v="Desk"/>
      </sharedItems>
    </cacheField>
    <cacheField name="Category" numFmtId="0">
      <sharedItems count="2">
        <s v="Electronics"/>
        <s v="Furniture"/>
      </sharedItems>
    </cacheField>
    <cacheField name="Units Sold" numFmtId="0">
      <sharedItems containsSemiMixedTypes="0" containsString="0" containsNumber="1" containsInteger="1" minValue="1" maxValue="8"/>
    </cacheField>
    <cacheField name="Unit Price" numFmtId="0">
      <sharedItems containsSemiMixedTypes="0" containsString="0" containsNumber="1" containsInteger="1" minValue="400" maxValue="3200"/>
    </cacheField>
    <cacheField name="Cost per Unit" numFmtId="0">
      <sharedItems containsSemiMixedTypes="0" containsString="0" containsNumber="1" containsInteger="1" minValue="220" maxValue="2500"/>
    </cacheField>
    <cacheField name="Revenue" numFmtId="0">
      <sharedItems containsSemiMixedTypes="0" containsString="0" containsNumber="1" containsInteger="1" minValue="1600" maxValue="12600"/>
    </cacheField>
    <cacheField name="Total Cost" numFmtId="0">
      <sharedItems containsSemiMixedTypes="0" containsString="0" containsNumber="1" containsInteger="1" minValue="880" maxValue="9100"/>
    </cacheField>
    <cacheField name="Profit" numFmtId="0">
      <sharedItems containsSemiMixedTypes="0" containsString="0" containsNumber="1" containsInteger="1" minValue="600" maxValue="3500"/>
    </cacheField>
    <cacheField name="Profit Margin" numFmtId="10">
      <sharedItems containsSemiMixedTypes="0" containsString="0" containsNumber="1" minValue="0.21875" maxValue="0.45"/>
    </cacheField>
    <cacheField name="Performance" numFmtId="0">
      <sharedItems/>
    </cacheField>
    <cacheField name="Total Profit Margin" numFmtId="0" formula="Profit/Revenue" databaseField="0"/>
  </cacheFields>
  <extLst>
    <ext xmlns:x14="http://schemas.microsoft.com/office/spreadsheetml/2009/9/main" uri="{725AE2AE-9491-48be-B2B4-4EB974FC3084}">
      <x14:pivotCacheDefinition pivotCacheId="297348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4"/>
    <x v="0"/>
    <x v="0"/>
    <x v="0"/>
    <x v="0"/>
    <x v="0"/>
    <n v="7"/>
    <n v="1800"/>
    <n v="1300"/>
    <n v="12600"/>
    <n v="9100"/>
    <n v="3500"/>
    <n v="0.27777777777777779"/>
    <s v="High"/>
  </r>
  <r>
    <n v="1009"/>
    <x v="1"/>
    <x v="1"/>
    <x v="1"/>
    <x v="0"/>
    <x v="0"/>
    <n v="6"/>
    <n v="1800"/>
    <n v="1300"/>
    <n v="10800"/>
    <n v="7800"/>
    <n v="3000"/>
    <n v="0.27777777777777779"/>
    <s v="Medium"/>
  </r>
  <r>
    <n v="1020"/>
    <x v="2"/>
    <x v="2"/>
    <x v="2"/>
    <x v="1"/>
    <x v="0"/>
    <n v="6"/>
    <n v="1400"/>
    <n v="950"/>
    <n v="8400"/>
    <n v="5700"/>
    <n v="2700"/>
    <n v="0.32142857142857145"/>
    <s v="Medium"/>
  </r>
  <r>
    <n v="1002"/>
    <x v="3"/>
    <x v="0"/>
    <x v="0"/>
    <x v="0"/>
    <x v="0"/>
    <n v="5"/>
    <n v="1800"/>
    <n v="1300"/>
    <n v="9000"/>
    <n v="6500"/>
    <n v="2500"/>
    <n v="0.27777777777777779"/>
    <s v="Medium"/>
  </r>
  <r>
    <n v="1019"/>
    <x v="4"/>
    <x v="3"/>
    <x v="3"/>
    <x v="0"/>
    <x v="0"/>
    <n v="5"/>
    <n v="1800"/>
    <n v="1300"/>
    <n v="9000"/>
    <n v="6500"/>
    <n v="2500"/>
    <n v="0.27777777777777779"/>
    <s v="Medium"/>
  </r>
  <r>
    <n v="1005"/>
    <x v="5"/>
    <x v="1"/>
    <x v="1"/>
    <x v="1"/>
    <x v="0"/>
    <n v="4"/>
    <n v="1400"/>
    <n v="950"/>
    <n v="5600"/>
    <n v="3800"/>
    <n v="1800"/>
    <n v="0.32142857142857145"/>
    <s v="Medium"/>
  </r>
  <r>
    <n v="1017"/>
    <x v="6"/>
    <x v="1"/>
    <x v="1"/>
    <x v="2"/>
    <x v="1"/>
    <n v="8"/>
    <n v="400"/>
    <n v="220"/>
    <n v="3200"/>
    <n v="1760"/>
    <n v="1440"/>
    <n v="0.45"/>
    <s v="Low"/>
  </r>
  <r>
    <n v="1001"/>
    <x v="7"/>
    <x v="1"/>
    <x v="1"/>
    <x v="3"/>
    <x v="0"/>
    <n v="2"/>
    <n v="3200"/>
    <n v="2500"/>
    <n v="6400"/>
    <n v="5000"/>
    <n v="1400"/>
    <n v="0.21875"/>
    <s v="Low"/>
  </r>
  <r>
    <n v="1011"/>
    <x v="8"/>
    <x v="3"/>
    <x v="3"/>
    <x v="3"/>
    <x v="0"/>
    <n v="2"/>
    <n v="3200"/>
    <n v="2500"/>
    <n v="6400"/>
    <n v="5000"/>
    <n v="1400"/>
    <n v="0.21875"/>
    <s v="Low"/>
  </r>
  <r>
    <n v="1010"/>
    <x v="9"/>
    <x v="0"/>
    <x v="0"/>
    <x v="1"/>
    <x v="0"/>
    <n v="3"/>
    <n v="1400"/>
    <n v="950"/>
    <n v="4200"/>
    <n v="2850"/>
    <n v="1350"/>
    <n v="0.32142857142857145"/>
    <s v="Low"/>
  </r>
  <r>
    <n v="1015"/>
    <x v="10"/>
    <x v="3"/>
    <x v="3"/>
    <x v="1"/>
    <x v="0"/>
    <n v="3"/>
    <n v="1400"/>
    <n v="950"/>
    <n v="4200"/>
    <n v="2850"/>
    <n v="1350"/>
    <n v="0.32142857142857145"/>
    <s v="Low"/>
  </r>
  <r>
    <n v="1018"/>
    <x v="11"/>
    <x v="0"/>
    <x v="0"/>
    <x v="4"/>
    <x v="1"/>
    <n v="4"/>
    <n v="900"/>
    <n v="600"/>
    <n v="3600"/>
    <n v="2400"/>
    <n v="1200"/>
    <n v="0.33333333333333331"/>
    <s v="Low"/>
  </r>
  <r>
    <n v="1004"/>
    <x v="12"/>
    <x v="2"/>
    <x v="2"/>
    <x v="2"/>
    <x v="1"/>
    <n v="6"/>
    <n v="400"/>
    <n v="220"/>
    <n v="2400"/>
    <n v="1320"/>
    <n v="1080"/>
    <n v="0.45"/>
    <s v="Low"/>
  </r>
  <r>
    <n v="1003"/>
    <x v="13"/>
    <x v="3"/>
    <x v="3"/>
    <x v="4"/>
    <x v="1"/>
    <n v="3"/>
    <n v="900"/>
    <n v="600"/>
    <n v="2700"/>
    <n v="1800"/>
    <n v="900"/>
    <n v="0.33333333333333331"/>
    <s v="Low"/>
  </r>
  <r>
    <n v="1007"/>
    <x v="14"/>
    <x v="3"/>
    <x v="3"/>
    <x v="2"/>
    <x v="1"/>
    <n v="5"/>
    <n v="400"/>
    <n v="220"/>
    <n v="2000"/>
    <n v="1100"/>
    <n v="900"/>
    <n v="0.45"/>
    <s v="Low"/>
  </r>
  <r>
    <n v="1012"/>
    <x v="15"/>
    <x v="2"/>
    <x v="2"/>
    <x v="2"/>
    <x v="1"/>
    <n v="4"/>
    <n v="400"/>
    <n v="220"/>
    <n v="1600"/>
    <n v="880"/>
    <n v="720"/>
    <n v="0.45"/>
    <s v="Low"/>
  </r>
  <r>
    <n v="1006"/>
    <x v="16"/>
    <x v="0"/>
    <x v="0"/>
    <x v="3"/>
    <x v="0"/>
    <n v="1"/>
    <n v="3200"/>
    <n v="2500"/>
    <n v="3200"/>
    <n v="2500"/>
    <n v="700"/>
    <n v="0.21875"/>
    <s v="Low"/>
  </r>
  <r>
    <n v="1016"/>
    <x v="17"/>
    <x v="2"/>
    <x v="2"/>
    <x v="3"/>
    <x v="0"/>
    <n v="1"/>
    <n v="3200"/>
    <n v="2500"/>
    <n v="3200"/>
    <n v="2500"/>
    <n v="700"/>
    <n v="0.21875"/>
    <s v="Low"/>
  </r>
  <r>
    <n v="1008"/>
    <x v="18"/>
    <x v="2"/>
    <x v="2"/>
    <x v="4"/>
    <x v="1"/>
    <n v="2"/>
    <n v="900"/>
    <n v="600"/>
    <n v="1800"/>
    <n v="1200"/>
    <n v="600"/>
    <n v="0.33333333333333331"/>
    <s v="Low"/>
  </r>
  <r>
    <n v="1013"/>
    <x v="19"/>
    <x v="1"/>
    <x v="1"/>
    <x v="4"/>
    <x v="1"/>
    <n v="2"/>
    <n v="900"/>
    <n v="600"/>
    <n v="1800"/>
    <n v="1200"/>
    <n v="600"/>
    <n v="0.33333333333333331"/>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D0ABD-0779-42C5-8092-486CE0604B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dragToRow="0" dragToCol="0" dragToPage="0" showAll="0" defaultSubtotal="0"/>
  </pivotFields>
  <rowItems count="1">
    <i/>
  </rowItems>
  <colItems count="1">
    <i/>
  </colItems>
  <dataFields count="1">
    <dataField name="Sum of Total Cost" fld="10" baseField="0" baseItem="0" numFmtId="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94B8D-F032-4F05-8C6E-F25A31B315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5:C10" firstHeaderRow="0" firstDataRow="1" firstDataCol="1"/>
  <pivotFields count="15">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numFmtId="10" showAll="0"/>
    <pivotField showAll="0"/>
    <pivotField dataField="1" dragToRow="0" dragToCol="0" dragToPage="0" showAll="0" defaultSubtotal="0"/>
  </pivotFields>
  <rowFields count="1">
    <field x="3"/>
  </rowFields>
  <rowItems count="5">
    <i>
      <x v="3"/>
    </i>
    <i>
      <x/>
    </i>
    <i>
      <x v="1"/>
    </i>
    <i>
      <x v="2"/>
    </i>
    <i t="grand">
      <x/>
    </i>
  </rowItems>
  <colFields count="1">
    <field x="-2"/>
  </colFields>
  <colItems count="2">
    <i>
      <x/>
    </i>
    <i i="1">
      <x v="1"/>
    </i>
  </colItems>
  <dataFields count="2">
    <dataField name="Total Revenue" fld="9" baseField="0" baseItem="0"/>
    <dataField name=" Profit Margin" fld="14" baseField="0" baseItem="0" numFmtId="165"/>
  </dataFields>
  <formats count="1">
    <format dxfId="8">
      <pivotArea outline="0" collapsedLevelsAreSubtotals="1" fieldPosition="0">
        <references count="1">
          <reference field="4294967294" count="1" selected="0">
            <x v="1"/>
          </reference>
        </references>
      </pivotArea>
    </format>
  </formats>
  <chartFormats count="8">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 chart="35" format="6">
      <pivotArea type="data" outline="0" fieldPosition="0">
        <references count="2">
          <reference field="4294967294" count="1" selected="0">
            <x v="1"/>
          </reference>
          <reference field="3" count="1" selected="0">
            <x v="2"/>
          </reference>
        </references>
      </pivotArea>
    </chartFormat>
    <chartFormat chart="35" format="7">
      <pivotArea type="data" outline="0" fieldPosition="0">
        <references count="2">
          <reference field="4294967294" count="1" selected="0">
            <x v="1"/>
          </reference>
          <reference field="3" count="1" selected="0">
            <x v="1"/>
          </reference>
        </references>
      </pivotArea>
    </chartFormat>
    <chartFormat chart="35" format="8">
      <pivotArea type="data" outline="0" fieldPosition="0">
        <references count="2">
          <reference field="4294967294" count="1" selected="0">
            <x v="1"/>
          </reference>
          <reference field="3" count="1" selected="0">
            <x v="0"/>
          </reference>
        </references>
      </pivotArea>
    </chartFormat>
    <chartFormat chart="35" format="9">
      <pivotArea type="data" outline="0" fieldPosition="0">
        <references count="2">
          <reference field="4294967294" count="1" selected="0">
            <x v="1"/>
          </reference>
          <reference field="3" count="1" selected="0">
            <x v="3"/>
          </reference>
        </references>
      </pivotArea>
    </chartFormat>
  </chartFormats>
  <pivotTableStyleInfo name="PivotStyleLight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ABDFB-A548-4ECC-8DBC-0ED3EFE9AD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5">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numFmtId="10" showAll="0"/>
    <pivotField showAll="0"/>
    <pivotField dragToRow="0" dragToCol="0" dragToPage="0" showAll="0" defaultSubtotal="0"/>
  </pivotFields>
  <rowFields count="1">
    <field x="2"/>
  </rowFields>
  <rowItems count="5">
    <i>
      <x v="3"/>
    </i>
    <i>
      <x/>
    </i>
    <i>
      <x v="2"/>
    </i>
    <i>
      <x v="1"/>
    </i>
    <i t="grand">
      <x/>
    </i>
  </rowItems>
  <colItems count="1">
    <i/>
  </colItems>
  <dataFields count="1">
    <dataField name="Sum of Revenue" fld="9" baseField="0" baseItem="0" numFmtId="3"/>
  </dataFields>
  <formats count="1">
    <format dxfId="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255CD8-F1CB-48F5-80ED-2EEEF85AB3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9" firstHeaderRow="0" firstDataRow="1" firstDataCol="1"/>
  <pivotFields count="15">
    <pivotField showAll="0"/>
    <pivotField showAll="0"/>
    <pivotField showAll="0"/>
    <pivotField showAll="0">
      <items count="5">
        <item x="1"/>
        <item x="3"/>
        <item x="2"/>
        <item x="0"/>
        <item t="default"/>
      </items>
    </pivotField>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10" showAll="0"/>
    <pivotField showAll="0"/>
    <pivotField dataField="1" dragToRow="0" dragToCol="0" dragToPage="0" showAll="0" defaultSubtotal="0"/>
  </pivotFields>
  <rowFields count="1">
    <field x="4"/>
  </rowFields>
  <rowItems count="6">
    <i>
      <x v="3"/>
    </i>
    <i>
      <x v="4"/>
    </i>
    <i>
      <x v="2"/>
    </i>
    <i>
      <x v="1"/>
    </i>
    <i>
      <x/>
    </i>
    <i t="grand">
      <x/>
    </i>
  </rowItems>
  <colFields count="1">
    <field x="-2"/>
  </colFields>
  <colItems count="2">
    <i>
      <x/>
    </i>
    <i i="1">
      <x v="1"/>
    </i>
  </colItems>
  <dataFields count="2">
    <dataField name="Sum of Revenue" fld="9" baseField="0" baseItem="0"/>
    <dataField name="Sum of Total Profit Margin" fld="14" baseField="0" baseItem="0" numFmtId="165"/>
  </dataFields>
  <formats count="1">
    <format dxfId="7">
      <pivotArea outline="0" collapsedLevelsAreSubtotals="1" fieldPosition="0">
        <references count="1">
          <reference field="4294967294" count="1" selected="0">
            <x v="1"/>
          </reference>
        </references>
      </pivotArea>
    </format>
  </formats>
  <chartFormats count="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1"/>
          </reference>
          <reference field="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pivotArea type="data" outline="0" fieldPosition="0">
        <references count="2">
          <reference field="4294967294" count="1" selected="0">
            <x v="1"/>
          </reference>
          <reference field="4" count="1" selected="0">
            <x v="0"/>
          </reference>
        </references>
      </pivotArea>
    </chartFormat>
  </chart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5DFF72-F4EA-44CF-8EEE-4800F70ABB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6" firstHeaderRow="1" firstDataRow="1" firstDataCol="1"/>
  <pivotFields count="15">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numFmtId="10" showAll="0"/>
    <pivotField showAll="0"/>
    <pivotField dragToRow="0" dragToCol="0" dragToPage="0" showAll="0" defaultSubtotal="0"/>
  </pivotFields>
  <rowFields count="1">
    <field x="5"/>
  </rowFields>
  <rowItems count="3">
    <i>
      <x/>
    </i>
    <i>
      <x v="1"/>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5F02E4-6F80-4756-8B4E-8D167D99A4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6" firstHeaderRow="1" firstDataRow="1" firstDataCol="1"/>
  <pivotFields count="15">
    <pivotField showAll="0"/>
    <pivotField showAll="0"/>
    <pivotField showAll="0"/>
    <pivotField showAll="0">
      <items count="5">
        <item x="1"/>
        <item x="3"/>
        <item x="2"/>
        <item x="0"/>
        <item t="default"/>
      </items>
    </pivotField>
    <pivotField showAll="0"/>
    <pivotField axis="axisRow" showAll="0">
      <items count="3">
        <item x="0"/>
        <item x="1"/>
        <item t="default"/>
      </items>
    </pivotField>
    <pivotField showAll="0"/>
    <pivotField showAll="0"/>
    <pivotField showAll="0"/>
    <pivotField dataField="1" showAll="0"/>
    <pivotField showAll="0"/>
    <pivotField showAll="0"/>
    <pivotField numFmtId="10" showAll="0"/>
    <pivotField showAll="0"/>
    <pivotField dragToRow="0" dragToCol="0" dragToPage="0" showAll="0" defaultSubtotal="0"/>
  </pivotFields>
  <rowFields count="1">
    <field x="5"/>
  </rowFields>
  <rowItems count="3">
    <i>
      <x/>
    </i>
    <i>
      <x v="1"/>
    </i>
    <i t="grand">
      <x/>
    </i>
  </rowItems>
  <colItems count="1">
    <i/>
  </colItems>
  <dataFields count="1">
    <dataField name="Sum of Revenue" fld="9" showDataAs="percentOfTotal" baseField="0" baseItem="0" numFmtId="10"/>
  </dataFields>
  <chartFormats count="7">
    <chartFormat chart="2"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5" count="1" selected="0">
            <x v="0"/>
          </reference>
        </references>
      </pivotArea>
    </chartFormat>
    <chartFormat chart="34" format="1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214B0-FAB6-4961-B8F0-03AA2D68D1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B31" firstHeaderRow="1" firstDataRow="1" firstDataCol="1"/>
  <pivotFields count="15">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 dataField="1"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Profit Margin" fld="14" baseField="0" baseItem="0"/>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D04F3A-271B-4CE0-8A09-CC91CC5446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dataField="1" dragToRow="0" dragToCol="0" dragToPage="0" showAll="0" defaultSubtotal="0"/>
  </pivotFields>
  <rowItems count="1">
    <i/>
  </rowItems>
  <colItems count="1">
    <i/>
  </colItems>
  <dataFields count="1">
    <dataField name="Sum of Profit Margin" fld="14"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4722ED-3224-43B6-BFBF-089E37F2DE28}" sourceName="Region">
  <pivotTables>
    <pivotTable tabId="8" name="PivotTable7"/>
    <pivotTable tabId="7" name="PivotTable6"/>
  </pivotTables>
  <data>
    <tabular pivotCacheId="297348869">
      <items count="4">
        <i x="1" s="1"/>
        <i x="3" s="1"/>
        <i x="2"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BA3093-0F3B-4437-885C-AEF5FBFFD8AF}" cache="Slicer_Region" caption="Region"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55D5A0-AFF7-4598-A5B2-19C4B11386D5}" name="Table1" displayName="Table1" ref="A1:N21" totalsRowShown="0" headerRowDxfId="16">
  <autoFilter ref="A1:N21" xr:uid="{FD55D5A0-AFF7-4598-A5B2-19C4B11386D5}"/>
  <sortState xmlns:xlrd2="http://schemas.microsoft.com/office/spreadsheetml/2017/richdata2" ref="A2:M21">
    <sortCondition descending="1" ref="L1:L21"/>
  </sortState>
  <tableColumns count="14">
    <tableColumn id="1" xr3:uid="{100D77BA-8BA5-421D-BBF8-772CAEFEA5DC}" name="Order ID"/>
    <tableColumn id="2" xr3:uid="{5DD65D57-88A9-4D08-9E69-1FF0B105F6B7}" name="Date" dataDxfId="15"/>
    <tableColumn id="3" xr3:uid="{91AA0206-9E59-4E99-B96B-AEB8258A6E46}" name="Sales Rep."/>
    <tableColumn id="4" xr3:uid="{C21C3F77-30F1-4500-A6DE-1FD2E1EE0F58}" name="Region"/>
    <tableColumn id="5" xr3:uid="{23FF7A31-BBCD-4B7A-81FE-CB96C6E283C9}" name="Product"/>
    <tableColumn id="6" xr3:uid="{58889F64-7D12-4C3A-9323-9EE4CC522CB0}" name="Category"/>
    <tableColumn id="7" xr3:uid="{970886DE-D9CF-4B50-A5E5-B1BC64326DD8}" name="Units Sold"/>
    <tableColumn id="8" xr3:uid="{6D2F66BB-30F3-472C-BC41-755C046E7739}" name="Unit Price"/>
    <tableColumn id="9" xr3:uid="{18D1F3C5-752E-4B87-98F2-944AA06FD305}" name="Cost per Unit"/>
    <tableColumn id="10" xr3:uid="{340715E5-0A4C-43A5-A893-20CC21200FB0}" name="Revenue" dataDxfId="14">
      <calculatedColumnFormula>Table1[[#This Row],[Units Sold]]*Table1[[#This Row],[Unit Price]]</calculatedColumnFormula>
    </tableColumn>
    <tableColumn id="11" xr3:uid="{31B1F893-4DBE-484A-B38E-114D59B230E2}" name="Total Cost" dataDxfId="13">
      <calculatedColumnFormula>Table1[[#This Row],[Units Sold]]*Table1[[#This Row],[Cost per Unit]]</calculatedColumnFormula>
    </tableColumn>
    <tableColumn id="12" xr3:uid="{9F2E1C8E-8A99-47A8-83E6-B41A6173AA3F}" name="Profit" dataDxfId="12">
      <calculatedColumnFormula>Table1[[#This Row],[Revenue]]-Table1[[#This Row],[Total Cost]]</calculatedColumnFormula>
    </tableColumn>
    <tableColumn id="13" xr3:uid="{025D7CC6-32CD-48E4-AFD5-EF40D2D577E7}" name="Profit Margin" dataDxfId="11">
      <calculatedColumnFormula>Table1[[#This Row],[Profit]]/Table1[[#This Row],[Revenue]]</calculatedColumnFormula>
    </tableColumn>
    <tableColumn id="14" xr3:uid="{85AAF159-D9C3-41A3-9874-AB9887586507}" name="Performance" dataDxfId="10">
      <calculatedColumnFormula array="1">_xlfn.IFS(Table1[[#This Row],[Profit]]&gt;3000,"High",Table1[[#This Row],[Profit]]&gt;=1500,"Medium",Table1[[#This Row],[Profit]]&lt;1500,"Low")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C0AF-BA73-4CC6-971D-0F85CA60975C}">
  <dimension ref="Y9"/>
  <sheetViews>
    <sheetView showGridLines="0" tabSelected="1" topLeftCell="A4" zoomScale="70" zoomScaleNormal="70" workbookViewId="0">
      <selection activeCell="AC18" sqref="AC18"/>
    </sheetView>
  </sheetViews>
  <sheetFormatPr defaultRowHeight="15" x14ac:dyDescent="0.25"/>
  <cols>
    <col min="1" max="16384" width="9.140625" style="16"/>
  </cols>
  <sheetData>
    <row r="9" spans="25:25" x14ac:dyDescent="0.25">
      <c r="Y9" s="16" t="s">
        <v>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0DF31-0858-4F43-918E-027859B803F4}">
  <dimension ref="A1:N21"/>
  <sheetViews>
    <sheetView workbookViewId="0">
      <selection activeCell="B1" sqref="B1:B1048576"/>
    </sheetView>
  </sheetViews>
  <sheetFormatPr defaultRowHeight="15" x14ac:dyDescent="0.25"/>
  <cols>
    <col min="1" max="1" width="10.5703125" customWidth="1"/>
    <col min="2" max="2" width="10.42578125" style="19" bestFit="1" customWidth="1"/>
    <col min="3" max="3" width="11.5703125" customWidth="1"/>
    <col min="4" max="4" width="9.28515625" customWidth="1"/>
    <col min="5" max="5" width="10" customWidth="1"/>
    <col min="6" max="6" width="11" customWidth="1"/>
    <col min="7" max="7" width="12.140625" customWidth="1"/>
    <col min="8" max="8" width="11.85546875" customWidth="1"/>
    <col min="9" max="9" width="14.7109375" customWidth="1"/>
    <col min="10" max="10" width="11.140625" bestFit="1" customWidth="1"/>
    <col min="11" max="11" width="12" bestFit="1" customWidth="1"/>
    <col min="13" max="13" width="15" bestFit="1" customWidth="1"/>
    <col min="14" max="14" width="14.7109375" bestFit="1" customWidth="1"/>
  </cols>
  <sheetData>
    <row r="1" spans="1:14" x14ac:dyDescent="0.25">
      <c r="A1" s="1" t="s">
        <v>0</v>
      </c>
      <c r="B1" s="18" t="s">
        <v>1</v>
      </c>
      <c r="C1" s="1" t="s">
        <v>34</v>
      </c>
      <c r="D1" s="1" t="s">
        <v>2</v>
      </c>
      <c r="E1" s="1" t="s">
        <v>3</v>
      </c>
      <c r="F1" s="1" t="s">
        <v>4</v>
      </c>
      <c r="G1" s="1" t="s">
        <v>5</v>
      </c>
      <c r="H1" s="1" t="s">
        <v>6</v>
      </c>
      <c r="I1" s="1" t="s">
        <v>7</v>
      </c>
      <c r="J1" s="2" t="s">
        <v>23</v>
      </c>
      <c r="K1" s="2" t="s">
        <v>24</v>
      </c>
      <c r="L1" s="2" t="s">
        <v>25</v>
      </c>
      <c r="M1" s="3" t="s">
        <v>26</v>
      </c>
      <c r="N1" s="3" t="s">
        <v>27</v>
      </c>
    </row>
    <row r="2" spans="1:14" x14ac:dyDescent="0.25">
      <c r="A2">
        <v>1014</v>
      </c>
      <c r="B2" s="19">
        <v>46061</v>
      </c>
      <c r="C2" t="s">
        <v>12</v>
      </c>
      <c r="D2" t="s">
        <v>13</v>
      </c>
      <c r="E2" t="s">
        <v>14</v>
      </c>
      <c r="F2" t="s">
        <v>11</v>
      </c>
      <c r="G2">
        <v>7</v>
      </c>
      <c r="H2">
        <v>1800</v>
      </c>
      <c r="I2">
        <v>1300</v>
      </c>
      <c r="J2">
        <f>Table1[[#This Row],[Units Sold]]*Table1[[#This Row],[Unit Price]]</f>
        <v>12600</v>
      </c>
      <c r="K2">
        <f>Table1[[#This Row],[Units Sold]]*Table1[[#This Row],[Cost per Unit]]</f>
        <v>9100</v>
      </c>
      <c r="L2">
        <f>Table1[[#This Row],[Revenue]]-Table1[[#This Row],[Total Cost]]</f>
        <v>3500</v>
      </c>
      <c r="M2" s="4">
        <f>Table1[[#This Row],[Profit]]/Table1[[#This Row],[Revenue]]</f>
        <v>0.27777777777777779</v>
      </c>
      <c r="N2" t="str" cm="1">
        <f t="array" ref="N2">_xlfn.IFS(Table1[[#This Row],[Profit]]&gt;3000,"High",Table1[[#This Row],[Profit]]&gt;=1500,"Medium",Table1[[#This Row],[Profit]]&lt;1500,"Low")</f>
        <v>High</v>
      </c>
    </row>
    <row r="3" spans="1:14" x14ac:dyDescent="0.25">
      <c r="A3">
        <v>1009</v>
      </c>
      <c r="B3" s="19">
        <v>46042</v>
      </c>
      <c r="C3" t="s">
        <v>8</v>
      </c>
      <c r="D3" t="s">
        <v>9</v>
      </c>
      <c r="E3" t="s">
        <v>14</v>
      </c>
      <c r="F3" t="s">
        <v>11</v>
      </c>
      <c r="G3">
        <v>6</v>
      </c>
      <c r="H3">
        <v>1800</v>
      </c>
      <c r="I3">
        <v>1300</v>
      </c>
      <c r="J3">
        <f>Table1[[#This Row],[Units Sold]]*Table1[[#This Row],[Unit Price]]</f>
        <v>10800</v>
      </c>
      <c r="K3">
        <f>Table1[[#This Row],[Units Sold]]*Table1[[#This Row],[Cost per Unit]]</f>
        <v>7800</v>
      </c>
      <c r="L3">
        <f>Table1[[#This Row],[Revenue]]-Table1[[#This Row],[Total Cost]]</f>
        <v>3000</v>
      </c>
      <c r="M3" s="4">
        <f>Table1[[#This Row],[Profit]]/Table1[[#This Row],[Revenue]]</f>
        <v>0.27777777777777779</v>
      </c>
      <c r="N3" t="str" cm="1">
        <f t="array" ref="N3">_xlfn.IFS(Table1[[#This Row],[Profit]]&gt;3000,"High",Table1[[#This Row],[Profit]]&gt;=1500,"Medium",Table1[[#This Row],[Profit]]&lt;1500,"Low")</f>
        <v>Medium</v>
      </c>
    </row>
    <row r="4" spans="1:14" x14ac:dyDescent="0.25">
      <c r="A4">
        <v>1020</v>
      </c>
      <c r="B4" s="19">
        <v>46077</v>
      </c>
      <c r="C4" t="s">
        <v>19</v>
      </c>
      <c r="D4" t="s">
        <v>20</v>
      </c>
      <c r="E4" t="s">
        <v>22</v>
      </c>
      <c r="F4" t="s">
        <v>11</v>
      </c>
      <c r="G4">
        <v>6</v>
      </c>
      <c r="H4">
        <v>1400</v>
      </c>
      <c r="I4">
        <v>950</v>
      </c>
      <c r="J4">
        <f>Table1[[#This Row],[Units Sold]]*Table1[[#This Row],[Unit Price]]</f>
        <v>8400</v>
      </c>
      <c r="K4">
        <f>Table1[[#This Row],[Units Sold]]*Table1[[#This Row],[Cost per Unit]]</f>
        <v>5700</v>
      </c>
      <c r="L4">
        <f>Table1[[#This Row],[Revenue]]-Table1[[#This Row],[Total Cost]]</f>
        <v>2700</v>
      </c>
      <c r="M4" s="4">
        <f>Table1[[#This Row],[Profit]]/Table1[[#This Row],[Revenue]]</f>
        <v>0.32142857142857145</v>
      </c>
      <c r="N4" t="str" cm="1">
        <f t="array" ref="N4">_xlfn.IFS(Table1[[#This Row],[Profit]]&gt;3000,"High",Table1[[#This Row],[Profit]]&gt;=1500,"Medium",Table1[[#This Row],[Profit]]&lt;1500,"Low")</f>
        <v>Medium</v>
      </c>
    </row>
    <row r="5" spans="1:14" x14ac:dyDescent="0.25">
      <c r="A5">
        <v>1002</v>
      </c>
      <c r="B5" s="19">
        <v>46027</v>
      </c>
      <c r="C5" t="s">
        <v>12</v>
      </c>
      <c r="D5" t="s">
        <v>13</v>
      </c>
      <c r="E5" t="s">
        <v>14</v>
      </c>
      <c r="F5" t="s">
        <v>11</v>
      </c>
      <c r="G5">
        <v>5</v>
      </c>
      <c r="H5">
        <v>1800</v>
      </c>
      <c r="I5">
        <v>1300</v>
      </c>
      <c r="J5">
        <f>Table1[[#This Row],[Units Sold]]*Table1[[#This Row],[Unit Price]]</f>
        <v>9000</v>
      </c>
      <c r="K5">
        <f>Table1[[#This Row],[Units Sold]]*Table1[[#This Row],[Cost per Unit]]</f>
        <v>6500</v>
      </c>
      <c r="L5">
        <f>Table1[[#This Row],[Revenue]]-Table1[[#This Row],[Total Cost]]</f>
        <v>2500</v>
      </c>
      <c r="M5" s="4">
        <f>Table1[[#This Row],[Profit]]/Table1[[#This Row],[Revenue]]</f>
        <v>0.27777777777777779</v>
      </c>
      <c r="N5" t="str" cm="1">
        <f t="array" ref="N5">_xlfn.IFS(Table1[[#This Row],[Profit]]&gt;3000,"High",Table1[[#This Row],[Profit]]&gt;=1500,"Medium",Table1[[#This Row],[Profit]]&lt;1500,"Low")</f>
        <v>Medium</v>
      </c>
    </row>
    <row r="6" spans="1:14" x14ac:dyDescent="0.25">
      <c r="A6">
        <v>1019</v>
      </c>
      <c r="B6" s="19">
        <v>46074</v>
      </c>
      <c r="C6" t="s">
        <v>15</v>
      </c>
      <c r="D6" t="s">
        <v>16</v>
      </c>
      <c r="E6" t="s">
        <v>14</v>
      </c>
      <c r="F6" t="s">
        <v>11</v>
      </c>
      <c r="G6">
        <v>5</v>
      </c>
      <c r="H6">
        <v>1800</v>
      </c>
      <c r="I6">
        <v>1300</v>
      </c>
      <c r="J6">
        <f>Table1[[#This Row],[Units Sold]]*Table1[[#This Row],[Unit Price]]</f>
        <v>9000</v>
      </c>
      <c r="K6">
        <f>Table1[[#This Row],[Units Sold]]*Table1[[#This Row],[Cost per Unit]]</f>
        <v>6500</v>
      </c>
      <c r="L6">
        <f>Table1[[#This Row],[Revenue]]-Table1[[#This Row],[Total Cost]]</f>
        <v>2500</v>
      </c>
      <c r="M6" s="4">
        <f>Table1[[#This Row],[Profit]]/Table1[[#This Row],[Revenue]]</f>
        <v>0.27777777777777779</v>
      </c>
      <c r="N6" t="str" cm="1">
        <f t="array" ref="N6">_xlfn.IFS(Table1[[#This Row],[Profit]]&gt;3000,"High",Table1[[#This Row],[Profit]]&gt;=1500,"Medium",Table1[[#This Row],[Profit]]&lt;1500,"Low")</f>
        <v>Medium</v>
      </c>
    </row>
    <row r="7" spans="1:14" x14ac:dyDescent="0.25">
      <c r="A7">
        <v>1005</v>
      </c>
      <c r="B7" s="19">
        <v>46033</v>
      </c>
      <c r="C7" t="s">
        <v>8</v>
      </c>
      <c r="D7" t="s">
        <v>9</v>
      </c>
      <c r="E7" t="s">
        <v>22</v>
      </c>
      <c r="F7" t="s">
        <v>11</v>
      </c>
      <c r="G7">
        <v>4</v>
      </c>
      <c r="H7">
        <v>1400</v>
      </c>
      <c r="I7">
        <v>950</v>
      </c>
      <c r="J7">
        <f>Table1[[#This Row],[Units Sold]]*Table1[[#This Row],[Unit Price]]</f>
        <v>5600</v>
      </c>
      <c r="K7">
        <f>Table1[[#This Row],[Units Sold]]*Table1[[#This Row],[Cost per Unit]]</f>
        <v>3800</v>
      </c>
      <c r="L7">
        <f>Table1[[#This Row],[Revenue]]-Table1[[#This Row],[Total Cost]]</f>
        <v>1800</v>
      </c>
      <c r="M7" s="4">
        <f>Table1[[#This Row],[Profit]]/Table1[[#This Row],[Revenue]]</f>
        <v>0.32142857142857145</v>
      </c>
      <c r="N7" t="str" cm="1">
        <f t="array" ref="N7">_xlfn.IFS(Table1[[#This Row],[Profit]]&gt;3000,"High",Table1[[#This Row],[Profit]]&gt;=1500,"Medium",Table1[[#This Row],[Profit]]&lt;1500,"Low")</f>
        <v>Medium</v>
      </c>
    </row>
    <row r="8" spans="1:14" x14ac:dyDescent="0.25">
      <c r="A8">
        <v>1017</v>
      </c>
      <c r="B8" s="19">
        <v>46069</v>
      </c>
      <c r="C8" t="s">
        <v>8</v>
      </c>
      <c r="D8" t="s">
        <v>9</v>
      </c>
      <c r="E8" t="s">
        <v>21</v>
      </c>
      <c r="F8" t="s">
        <v>18</v>
      </c>
      <c r="G8">
        <v>8</v>
      </c>
      <c r="H8">
        <v>400</v>
      </c>
      <c r="I8">
        <v>220</v>
      </c>
      <c r="J8">
        <f>Table1[[#This Row],[Units Sold]]*Table1[[#This Row],[Unit Price]]</f>
        <v>3200</v>
      </c>
      <c r="K8">
        <f>Table1[[#This Row],[Units Sold]]*Table1[[#This Row],[Cost per Unit]]</f>
        <v>1760</v>
      </c>
      <c r="L8">
        <f>Table1[[#This Row],[Revenue]]-Table1[[#This Row],[Total Cost]]</f>
        <v>1440</v>
      </c>
      <c r="M8" s="4">
        <f>Table1[[#This Row],[Profit]]/Table1[[#This Row],[Revenue]]</f>
        <v>0.45</v>
      </c>
      <c r="N8" t="str" cm="1">
        <f t="array" ref="N8">_xlfn.IFS(Table1[[#This Row],[Profit]]&gt;3000,"High",Table1[[#This Row],[Profit]]&gt;=1500,"Medium",Table1[[#This Row],[Profit]]&lt;1500,"Low")</f>
        <v>Low</v>
      </c>
    </row>
    <row r="9" spans="1:14" x14ac:dyDescent="0.25">
      <c r="A9">
        <v>1001</v>
      </c>
      <c r="B9" s="19">
        <v>46025</v>
      </c>
      <c r="C9" t="s">
        <v>8</v>
      </c>
      <c r="D9" t="s">
        <v>9</v>
      </c>
      <c r="E9" t="s">
        <v>10</v>
      </c>
      <c r="F9" t="s">
        <v>11</v>
      </c>
      <c r="G9">
        <v>2</v>
      </c>
      <c r="H9">
        <v>3200</v>
      </c>
      <c r="I9">
        <v>2500</v>
      </c>
      <c r="J9">
        <f>Table1[[#This Row],[Units Sold]]*Table1[[#This Row],[Unit Price]]</f>
        <v>6400</v>
      </c>
      <c r="K9">
        <f>Table1[[#This Row],[Units Sold]]*Table1[[#This Row],[Cost per Unit]]</f>
        <v>5000</v>
      </c>
      <c r="L9">
        <f>Table1[[#This Row],[Revenue]]-Table1[[#This Row],[Total Cost]]</f>
        <v>1400</v>
      </c>
      <c r="M9" s="4">
        <f>Table1[[#This Row],[Profit]]/Table1[[#This Row],[Revenue]]</f>
        <v>0.21875</v>
      </c>
      <c r="N9" t="str" cm="1">
        <f t="array" ref="N9">_xlfn.IFS(Table1[[#This Row],[Profit]]&gt;3000,"High",Table1[[#This Row],[Profit]]&gt;=1500,"Medium",Table1[[#This Row],[Profit]]&lt;1500,"Low")</f>
        <v>Low</v>
      </c>
    </row>
    <row r="10" spans="1:14" x14ac:dyDescent="0.25">
      <c r="A10">
        <v>1011</v>
      </c>
      <c r="B10" s="19">
        <v>46054</v>
      </c>
      <c r="C10" t="s">
        <v>15</v>
      </c>
      <c r="D10" t="s">
        <v>16</v>
      </c>
      <c r="E10" t="s">
        <v>10</v>
      </c>
      <c r="F10" t="s">
        <v>11</v>
      </c>
      <c r="G10">
        <v>2</v>
      </c>
      <c r="H10">
        <v>3200</v>
      </c>
      <c r="I10">
        <v>2500</v>
      </c>
      <c r="J10">
        <f>Table1[[#This Row],[Units Sold]]*Table1[[#This Row],[Unit Price]]</f>
        <v>6400</v>
      </c>
      <c r="K10">
        <f>Table1[[#This Row],[Units Sold]]*Table1[[#This Row],[Cost per Unit]]</f>
        <v>5000</v>
      </c>
      <c r="L10">
        <f>Table1[[#This Row],[Revenue]]-Table1[[#This Row],[Total Cost]]</f>
        <v>1400</v>
      </c>
      <c r="M10" s="4">
        <f>Table1[[#This Row],[Profit]]/Table1[[#This Row],[Revenue]]</f>
        <v>0.21875</v>
      </c>
      <c r="N10" t="str" cm="1">
        <f t="array" ref="N10">_xlfn.IFS(Table1[[#This Row],[Profit]]&gt;3000,"High",Table1[[#This Row],[Profit]]&gt;=1500,"Medium",Table1[[#This Row],[Profit]]&lt;1500,"Low")</f>
        <v>Low</v>
      </c>
    </row>
    <row r="11" spans="1:14" x14ac:dyDescent="0.25">
      <c r="A11">
        <v>1010</v>
      </c>
      <c r="B11" s="19">
        <v>46044</v>
      </c>
      <c r="C11" t="s">
        <v>12</v>
      </c>
      <c r="D11" t="s">
        <v>13</v>
      </c>
      <c r="E11" t="s">
        <v>22</v>
      </c>
      <c r="F11" t="s">
        <v>11</v>
      </c>
      <c r="G11">
        <v>3</v>
      </c>
      <c r="H11">
        <v>1400</v>
      </c>
      <c r="I11">
        <v>950</v>
      </c>
      <c r="J11">
        <f>Table1[[#This Row],[Units Sold]]*Table1[[#This Row],[Unit Price]]</f>
        <v>4200</v>
      </c>
      <c r="K11">
        <f>Table1[[#This Row],[Units Sold]]*Table1[[#This Row],[Cost per Unit]]</f>
        <v>2850</v>
      </c>
      <c r="L11">
        <f>Table1[[#This Row],[Revenue]]-Table1[[#This Row],[Total Cost]]</f>
        <v>1350</v>
      </c>
      <c r="M11" s="4">
        <f>Table1[[#This Row],[Profit]]/Table1[[#This Row],[Revenue]]</f>
        <v>0.32142857142857145</v>
      </c>
      <c r="N11" t="str" cm="1">
        <f t="array" ref="N11">_xlfn.IFS(Table1[[#This Row],[Profit]]&gt;3000,"High",Table1[[#This Row],[Profit]]&gt;=1500,"Medium",Table1[[#This Row],[Profit]]&lt;1500,"Low")</f>
        <v>Low</v>
      </c>
    </row>
    <row r="12" spans="1:14" x14ac:dyDescent="0.25">
      <c r="A12">
        <v>1015</v>
      </c>
      <c r="B12" s="19">
        <v>46063</v>
      </c>
      <c r="C12" t="s">
        <v>15</v>
      </c>
      <c r="D12" t="s">
        <v>16</v>
      </c>
      <c r="E12" t="s">
        <v>22</v>
      </c>
      <c r="F12" t="s">
        <v>11</v>
      </c>
      <c r="G12">
        <v>3</v>
      </c>
      <c r="H12">
        <v>1400</v>
      </c>
      <c r="I12">
        <v>950</v>
      </c>
      <c r="J12">
        <f>Table1[[#This Row],[Units Sold]]*Table1[[#This Row],[Unit Price]]</f>
        <v>4200</v>
      </c>
      <c r="K12">
        <f>Table1[[#This Row],[Units Sold]]*Table1[[#This Row],[Cost per Unit]]</f>
        <v>2850</v>
      </c>
      <c r="L12">
        <f>Table1[[#This Row],[Revenue]]-Table1[[#This Row],[Total Cost]]</f>
        <v>1350</v>
      </c>
      <c r="M12" s="4">
        <f>Table1[[#This Row],[Profit]]/Table1[[#This Row],[Revenue]]</f>
        <v>0.32142857142857145</v>
      </c>
      <c r="N12" t="str" cm="1">
        <f t="array" ref="N12">_xlfn.IFS(Table1[[#This Row],[Profit]]&gt;3000,"High",Table1[[#This Row],[Profit]]&gt;=1500,"Medium",Table1[[#This Row],[Profit]]&lt;1500,"Low")</f>
        <v>Low</v>
      </c>
    </row>
    <row r="13" spans="1:14" x14ac:dyDescent="0.25">
      <c r="A13">
        <v>1018</v>
      </c>
      <c r="B13" s="19">
        <v>46071</v>
      </c>
      <c r="C13" t="s">
        <v>12</v>
      </c>
      <c r="D13" t="s">
        <v>13</v>
      </c>
      <c r="E13" t="s">
        <v>17</v>
      </c>
      <c r="F13" t="s">
        <v>18</v>
      </c>
      <c r="G13">
        <v>4</v>
      </c>
      <c r="H13">
        <v>900</v>
      </c>
      <c r="I13">
        <v>600</v>
      </c>
      <c r="J13">
        <f>Table1[[#This Row],[Units Sold]]*Table1[[#This Row],[Unit Price]]</f>
        <v>3600</v>
      </c>
      <c r="K13">
        <f>Table1[[#This Row],[Units Sold]]*Table1[[#This Row],[Cost per Unit]]</f>
        <v>2400</v>
      </c>
      <c r="L13">
        <f>Table1[[#This Row],[Revenue]]-Table1[[#This Row],[Total Cost]]</f>
        <v>1200</v>
      </c>
      <c r="M13" s="4">
        <f>Table1[[#This Row],[Profit]]/Table1[[#This Row],[Revenue]]</f>
        <v>0.33333333333333331</v>
      </c>
      <c r="N13" t="str" cm="1">
        <f t="array" ref="N13">_xlfn.IFS(Table1[[#This Row],[Profit]]&gt;3000,"High",Table1[[#This Row],[Profit]]&gt;=1500,"Medium",Table1[[#This Row],[Profit]]&lt;1500,"Low")</f>
        <v>Low</v>
      </c>
    </row>
    <row r="14" spans="1:14" x14ac:dyDescent="0.25">
      <c r="A14">
        <v>1004</v>
      </c>
      <c r="B14" s="19">
        <v>46030</v>
      </c>
      <c r="C14" t="s">
        <v>19</v>
      </c>
      <c r="D14" t="s">
        <v>20</v>
      </c>
      <c r="E14" t="s">
        <v>21</v>
      </c>
      <c r="F14" t="s">
        <v>18</v>
      </c>
      <c r="G14">
        <v>6</v>
      </c>
      <c r="H14">
        <v>400</v>
      </c>
      <c r="I14">
        <v>220</v>
      </c>
      <c r="J14">
        <f>Table1[[#This Row],[Units Sold]]*Table1[[#This Row],[Unit Price]]</f>
        <v>2400</v>
      </c>
      <c r="K14">
        <f>Table1[[#This Row],[Units Sold]]*Table1[[#This Row],[Cost per Unit]]</f>
        <v>1320</v>
      </c>
      <c r="L14">
        <f>Table1[[#This Row],[Revenue]]-Table1[[#This Row],[Total Cost]]</f>
        <v>1080</v>
      </c>
      <c r="M14" s="4">
        <f>Table1[[#This Row],[Profit]]/Table1[[#This Row],[Revenue]]</f>
        <v>0.45</v>
      </c>
      <c r="N14" t="str" cm="1">
        <f t="array" ref="N14">_xlfn.IFS(Table1[[#This Row],[Profit]]&gt;3000,"High",Table1[[#This Row],[Profit]]&gt;=1500,"Medium",Table1[[#This Row],[Profit]]&lt;1500,"Low")</f>
        <v>Low</v>
      </c>
    </row>
    <row r="15" spans="1:14" x14ac:dyDescent="0.25">
      <c r="A15">
        <v>1003</v>
      </c>
      <c r="B15" s="19">
        <v>46028</v>
      </c>
      <c r="C15" t="s">
        <v>15</v>
      </c>
      <c r="D15" t="s">
        <v>16</v>
      </c>
      <c r="E15" t="s">
        <v>17</v>
      </c>
      <c r="F15" t="s">
        <v>18</v>
      </c>
      <c r="G15">
        <v>3</v>
      </c>
      <c r="H15">
        <v>900</v>
      </c>
      <c r="I15">
        <v>600</v>
      </c>
      <c r="J15">
        <f>Table1[[#This Row],[Units Sold]]*Table1[[#This Row],[Unit Price]]</f>
        <v>2700</v>
      </c>
      <c r="K15">
        <f>Table1[[#This Row],[Units Sold]]*Table1[[#This Row],[Cost per Unit]]</f>
        <v>1800</v>
      </c>
      <c r="L15">
        <f>Table1[[#This Row],[Revenue]]-Table1[[#This Row],[Total Cost]]</f>
        <v>900</v>
      </c>
      <c r="M15" s="4">
        <f>Table1[[#This Row],[Profit]]/Table1[[#This Row],[Revenue]]</f>
        <v>0.33333333333333331</v>
      </c>
      <c r="N15" t="str" cm="1">
        <f t="array" ref="N15">_xlfn.IFS(Table1[[#This Row],[Profit]]&gt;3000,"High",Table1[[#This Row],[Profit]]&gt;=1500,"Medium",Table1[[#This Row],[Profit]]&lt;1500,"Low")</f>
        <v>Low</v>
      </c>
    </row>
    <row r="16" spans="1:14" x14ac:dyDescent="0.25">
      <c r="A16">
        <v>1007</v>
      </c>
      <c r="B16" s="19">
        <v>46037</v>
      </c>
      <c r="C16" t="s">
        <v>15</v>
      </c>
      <c r="D16" t="s">
        <v>16</v>
      </c>
      <c r="E16" t="s">
        <v>21</v>
      </c>
      <c r="F16" t="s">
        <v>18</v>
      </c>
      <c r="G16">
        <v>5</v>
      </c>
      <c r="H16">
        <v>400</v>
      </c>
      <c r="I16">
        <v>220</v>
      </c>
      <c r="J16">
        <f>Table1[[#This Row],[Units Sold]]*Table1[[#This Row],[Unit Price]]</f>
        <v>2000</v>
      </c>
      <c r="K16">
        <f>Table1[[#This Row],[Units Sold]]*Table1[[#This Row],[Cost per Unit]]</f>
        <v>1100</v>
      </c>
      <c r="L16">
        <f>Table1[[#This Row],[Revenue]]-Table1[[#This Row],[Total Cost]]</f>
        <v>900</v>
      </c>
      <c r="M16" s="4">
        <f>Table1[[#This Row],[Profit]]/Table1[[#This Row],[Revenue]]</f>
        <v>0.45</v>
      </c>
      <c r="N16" t="str" cm="1">
        <f t="array" ref="N16">_xlfn.IFS(Table1[[#This Row],[Profit]]&gt;3000,"High",Table1[[#This Row],[Profit]]&gt;=1500,"Medium",Table1[[#This Row],[Profit]]&lt;1500,"Low")</f>
        <v>Low</v>
      </c>
    </row>
    <row r="17" spans="1:14" x14ac:dyDescent="0.25">
      <c r="A17">
        <v>1012</v>
      </c>
      <c r="B17" s="19">
        <v>46057</v>
      </c>
      <c r="C17" t="s">
        <v>19</v>
      </c>
      <c r="D17" t="s">
        <v>20</v>
      </c>
      <c r="E17" t="s">
        <v>21</v>
      </c>
      <c r="F17" t="s">
        <v>18</v>
      </c>
      <c r="G17">
        <v>4</v>
      </c>
      <c r="H17">
        <v>400</v>
      </c>
      <c r="I17">
        <v>220</v>
      </c>
      <c r="J17">
        <f>Table1[[#This Row],[Units Sold]]*Table1[[#This Row],[Unit Price]]</f>
        <v>1600</v>
      </c>
      <c r="K17">
        <f>Table1[[#This Row],[Units Sold]]*Table1[[#This Row],[Cost per Unit]]</f>
        <v>880</v>
      </c>
      <c r="L17">
        <f>Table1[[#This Row],[Revenue]]-Table1[[#This Row],[Total Cost]]</f>
        <v>720</v>
      </c>
      <c r="M17" s="4">
        <f>Table1[[#This Row],[Profit]]/Table1[[#This Row],[Revenue]]</f>
        <v>0.45</v>
      </c>
      <c r="N17" t="str" cm="1">
        <f t="array" ref="N17">_xlfn.IFS(Table1[[#This Row],[Profit]]&gt;3000,"High",Table1[[#This Row],[Profit]]&gt;=1500,"Medium",Table1[[#This Row],[Profit]]&lt;1500,"Low")</f>
        <v>Low</v>
      </c>
    </row>
    <row r="18" spans="1:14" x14ac:dyDescent="0.25">
      <c r="A18">
        <v>1006</v>
      </c>
      <c r="B18" s="19">
        <v>46035</v>
      </c>
      <c r="C18" t="s">
        <v>12</v>
      </c>
      <c r="D18" t="s">
        <v>13</v>
      </c>
      <c r="E18" t="s">
        <v>10</v>
      </c>
      <c r="F18" t="s">
        <v>11</v>
      </c>
      <c r="G18">
        <v>1</v>
      </c>
      <c r="H18">
        <v>3200</v>
      </c>
      <c r="I18">
        <v>2500</v>
      </c>
      <c r="J18">
        <f>Table1[[#This Row],[Units Sold]]*Table1[[#This Row],[Unit Price]]</f>
        <v>3200</v>
      </c>
      <c r="K18">
        <f>Table1[[#This Row],[Units Sold]]*Table1[[#This Row],[Cost per Unit]]</f>
        <v>2500</v>
      </c>
      <c r="L18">
        <f>Table1[[#This Row],[Revenue]]-Table1[[#This Row],[Total Cost]]</f>
        <v>700</v>
      </c>
      <c r="M18" s="4">
        <f>Table1[[#This Row],[Profit]]/Table1[[#This Row],[Revenue]]</f>
        <v>0.21875</v>
      </c>
      <c r="N18" t="str" cm="1">
        <f t="array" ref="N18">_xlfn.IFS(Table1[[#This Row],[Profit]]&gt;3000,"High",Table1[[#This Row],[Profit]]&gt;=1500,"Medium",Table1[[#This Row],[Profit]]&lt;1500,"Low")</f>
        <v>Low</v>
      </c>
    </row>
    <row r="19" spans="1:14" x14ac:dyDescent="0.25">
      <c r="A19">
        <v>1016</v>
      </c>
      <c r="B19" s="19">
        <v>46067</v>
      </c>
      <c r="C19" t="s">
        <v>19</v>
      </c>
      <c r="D19" t="s">
        <v>20</v>
      </c>
      <c r="E19" t="s">
        <v>10</v>
      </c>
      <c r="F19" t="s">
        <v>11</v>
      </c>
      <c r="G19">
        <v>1</v>
      </c>
      <c r="H19">
        <v>3200</v>
      </c>
      <c r="I19">
        <v>2500</v>
      </c>
      <c r="J19">
        <f>Table1[[#This Row],[Units Sold]]*Table1[[#This Row],[Unit Price]]</f>
        <v>3200</v>
      </c>
      <c r="K19">
        <f>Table1[[#This Row],[Units Sold]]*Table1[[#This Row],[Cost per Unit]]</f>
        <v>2500</v>
      </c>
      <c r="L19">
        <f>Table1[[#This Row],[Revenue]]-Table1[[#This Row],[Total Cost]]</f>
        <v>700</v>
      </c>
      <c r="M19" s="4">
        <f>Table1[[#This Row],[Profit]]/Table1[[#This Row],[Revenue]]</f>
        <v>0.21875</v>
      </c>
      <c r="N19" t="str" cm="1">
        <f t="array" ref="N19">_xlfn.IFS(Table1[[#This Row],[Profit]]&gt;3000,"High",Table1[[#This Row],[Profit]]&gt;=1500,"Medium",Table1[[#This Row],[Profit]]&lt;1500,"Low")</f>
        <v>Low</v>
      </c>
    </row>
    <row r="20" spans="1:14" x14ac:dyDescent="0.25">
      <c r="A20">
        <v>1008</v>
      </c>
      <c r="B20" s="19">
        <v>46040</v>
      </c>
      <c r="C20" t="s">
        <v>19</v>
      </c>
      <c r="D20" t="s">
        <v>20</v>
      </c>
      <c r="E20" t="s">
        <v>17</v>
      </c>
      <c r="F20" t="s">
        <v>18</v>
      </c>
      <c r="G20">
        <v>2</v>
      </c>
      <c r="H20">
        <v>900</v>
      </c>
      <c r="I20">
        <v>600</v>
      </c>
      <c r="J20">
        <f>Table1[[#This Row],[Units Sold]]*Table1[[#This Row],[Unit Price]]</f>
        <v>1800</v>
      </c>
      <c r="K20">
        <f>Table1[[#This Row],[Units Sold]]*Table1[[#This Row],[Cost per Unit]]</f>
        <v>1200</v>
      </c>
      <c r="L20">
        <f>Table1[[#This Row],[Revenue]]-Table1[[#This Row],[Total Cost]]</f>
        <v>600</v>
      </c>
      <c r="M20" s="4">
        <f>Table1[[#This Row],[Profit]]/Table1[[#This Row],[Revenue]]</f>
        <v>0.33333333333333331</v>
      </c>
      <c r="N20" t="str" cm="1">
        <f t="array" ref="N20">_xlfn.IFS(Table1[[#This Row],[Profit]]&gt;3000,"High",Table1[[#This Row],[Profit]]&gt;=1500,"Medium",Table1[[#This Row],[Profit]]&lt;1500,"Low")</f>
        <v>Low</v>
      </c>
    </row>
    <row r="21" spans="1:14" x14ac:dyDescent="0.25">
      <c r="A21">
        <v>1013</v>
      </c>
      <c r="B21" s="19">
        <v>46059</v>
      </c>
      <c r="C21" t="s">
        <v>8</v>
      </c>
      <c r="D21" t="s">
        <v>9</v>
      </c>
      <c r="E21" t="s">
        <v>17</v>
      </c>
      <c r="F21" t="s">
        <v>18</v>
      </c>
      <c r="G21">
        <v>2</v>
      </c>
      <c r="H21">
        <v>900</v>
      </c>
      <c r="I21">
        <v>600</v>
      </c>
      <c r="J21">
        <f>Table1[[#This Row],[Units Sold]]*Table1[[#This Row],[Unit Price]]</f>
        <v>1800</v>
      </c>
      <c r="K21">
        <f>Table1[[#This Row],[Units Sold]]*Table1[[#This Row],[Cost per Unit]]</f>
        <v>1200</v>
      </c>
      <c r="L21">
        <f>Table1[[#This Row],[Revenue]]-Table1[[#This Row],[Total Cost]]</f>
        <v>600</v>
      </c>
      <c r="M21" s="4">
        <f>Table1[[#This Row],[Profit]]/Table1[[#This Row],[Revenue]]</f>
        <v>0.33333333333333331</v>
      </c>
      <c r="N21" t="str" cm="1">
        <f t="array" ref="N21">_xlfn.IFS(Table1[[#This Row],[Profit]]&gt;3000,"High",Table1[[#This Row],[Profit]]&gt;=1500,"Medium",Table1[[#This Row],[Profit]]&lt;1500,"Low")</f>
        <v>Low</v>
      </c>
    </row>
  </sheetData>
  <conditionalFormatting sqref="N2:N21">
    <cfRule type="expression" dxfId="4" priority="1">
      <formula>$N2="medium"</formula>
    </cfRule>
    <cfRule type="expression" dxfId="3" priority="2">
      <formula>$N2="Medium"</formula>
    </cfRule>
    <cfRule type="expression" dxfId="2" priority="3">
      <formula>$N2="Low"</formula>
    </cfRule>
    <cfRule type="expression" dxfId="1" priority="4">
      <formula>$N2="High"</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A96A-8A63-49CF-8E4B-D929E3D11952}">
  <dimension ref="A3:A4"/>
  <sheetViews>
    <sheetView workbookViewId="0">
      <selection activeCell="P3" sqref="P3"/>
    </sheetView>
  </sheetViews>
  <sheetFormatPr defaultRowHeight="15" x14ac:dyDescent="0.25"/>
  <cols>
    <col min="1" max="1" width="17" bestFit="1" customWidth="1"/>
  </cols>
  <sheetData>
    <row r="3" spans="1:1" x14ac:dyDescent="0.25">
      <c r="A3" t="s">
        <v>35</v>
      </c>
    </row>
    <row r="4" spans="1:1" x14ac:dyDescent="0.25">
      <c r="A4" s="15">
        <v>71760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F9A80-232A-468C-9191-F25A7AC26BA6}">
  <dimension ref="A2:C17"/>
  <sheetViews>
    <sheetView workbookViewId="0">
      <selection activeCell="C5" sqref="C5"/>
    </sheetView>
  </sheetViews>
  <sheetFormatPr defaultRowHeight="15" x14ac:dyDescent="0.25"/>
  <cols>
    <col min="1" max="1" width="13.42578125" bestFit="1" customWidth="1"/>
    <col min="2" max="2" width="14" bestFit="1" customWidth="1"/>
    <col min="3" max="3" width="12.85546875" bestFit="1" customWidth="1"/>
    <col min="4" max="4" width="19.42578125" bestFit="1" customWidth="1"/>
  </cols>
  <sheetData>
    <row r="2" spans="1:3" ht="21" x14ac:dyDescent="0.35">
      <c r="A2" s="5"/>
    </row>
    <row r="5" spans="1:3" x14ac:dyDescent="0.25">
      <c r="A5" s="6" t="s">
        <v>28</v>
      </c>
      <c r="B5" t="s">
        <v>40</v>
      </c>
      <c r="C5" t="s">
        <v>39</v>
      </c>
    </row>
    <row r="6" spans="1:3" x14ac:dyDescent="0.25">
      <c r="A6" s="7" t="s">
        <v>13</v>
      </c>
      <c r="B6">
        <v>32600</v>
      </c>
      <c r="C6" s="14">
        <v>0.28374233128834359</v>
      </c>
    </row>
    <row r="7" spans="1:3" x14ac:dyDescent="0.25">
      <c r="A7" s="7" t="s">
        <v>9</v>
      </c>
      <c r="B7">
        <v>27800</v>
      </c>
      <c r="C7" s="14">
        <v>0.29640287769784174</v>
      </c>
    </row>
    <row r="8" spans="1:3" x14ac:dyDescent="0.25">
      <c r="A8" s="7" t="s">
        <v>16</v>
      </c>
      <c r="B8">
        <v>24300</v>
      </c>
      <c r="C8" s="14">
        <v>0.29012345679012347</v>
      </c>
    </row>
    <row r="9" spans="1:3" x14ac:dyDescent="0.25">
      <c r="A9" s="7" t="s">
        <v>20</v>
      </c>
      <c r="B9">
        <v>17400</v>
      </c>
      <c r="C9" s="14">
        <v>0.33333333333333331</v>
      </c>
    </row>
    <row r="10" spans="1:3" x14ac:dyDescent="0.25">
      <c r="A10" s="7" t="s">
        <v>29</v>
      </c>
      <c r="B10">
        <v>102100</v>
      </c>
      <c r="C10" s="14">
        <v>0.2971596474045054</v>
      </c>
    </row>
    <row r="16" spans="1:3" x14ac:dyDescent="0.25">
      <c r="A16" t="s">
        <v>31</v>
      </c>
      <c r="B16" t="s">
        <v>32</v>
      </c>
      <c r="C16" t="s">
        <v>33</v>
      </c>
    </row>
    <row r="17" spans="1:3" x14ac:dyDescent="0.25">
      <c r="A17" s="13">
        <f>SUM(Table1[Revenue])</f>
        <v>102100</v>
      </c>
      <c r="B17" s="13">
        <f>SUM(Sheet1!L3:L21)</f>
        <v>26840</v>
      </c>
      <c r="C17" s="4">
        <f>AVERAGE(Sheet1!M3:M21)</f>
        <v>0.32249373433583967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82CD9-CC65-4B9B-B669-D7934130C97D}">
  <dimension ref="A3:B8"/>
  <sheetViews>
    <sheetView workbookViewId="0">
      <selection activeCell="B4" sqref="B4:B8"/>
    </sheetView>
  </sheetViews>
  <sheetFormatPr defaultRowHeight="15" x14ac:dyDescent="0.25"/>
  <cols>
    <col min="1" max="1" width="13.140625" bestFit="1" customWidth="1"/>
    <col min="2" max="2" width="14.85546875" bestFit="1" customWidth="1"/>
  </cols>
  <sheetData>
    <row r="3" spans="1:2" x14ac:dyDescent="0.25">
      <c r="A3" s="8" t="s">
        <v>28</v>
      </c>
      <c r="B3" s="9" t="s">
        <v>30</v>
      </c>
    </row>
    <row r="4" spans="1:2" x14ac:dyDescent="0.25">
      <c r="A4" s="10" t="s">
        <v>12</v>
      </c>
      <c r="B4" s="21">
        <v>32600</v>
      </c>
    </row>
    <row r="5" spans="1:2" x14ac:dyDescent="0.25">
      <c r="A5" s="11" t="s">
        <v>8</v>
      </c>
      <c r="B5" s="22">
        <v>27800</v>
      </c>
    </row>
    <row r="6" spans="1:2" x14ac:dyDescent="0.25">
      <c r="A6" s="11" t="s">
        <v>15</v>
      </c>
      <c r="B6" s="22">
        <v>24300</v>
      </c>
    </row>
    <row r="7" spans="1:2" x14ac:dyDescent="0.25">
      <c r="A7" s="11" t="s">
        <v>19</v>
      </c>
      <c r="B7" s="22">
        <v>17400</v>
      </c>
    </row>
    <row r="8" spans="1:2" x14ac:dyDescent="0.25">
      <c r="A8" s="12" t="s">
        <v>29</v>
      </c>
      <c r="B8" s="23">
        <v>102100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7439-BF0D-4A56-AD96-045B44D72763}">
  <dimension ref="A3:C9"/>
  <sheetViews>
    <sheetView workbookViewId="0">
      <selection activeCell="A3" sqref="A3"/>
    </sheetView>
  </sheetViews>
  <sheetFormatPr defaultRowHeight="15" x14ac:dyDescent="0.25"/>
  <cols>
    <col min="1" max="1" width="13.42578125" bestFit="1" customWidth="1"/>
    <col min="2" max="2" width="15.85546875" bestFit="1" customWidth="1"/>
    <col min="3" max="3" width="24.42578125" bestFit="1" customWidth="1"/>
  </cols>
  <sheetData>
    <row r="3" spans="1:3" x14ac:dyDescent="0.25">
      <c r="A3" s="6" t="s">
        <v>28</v>
      </c>
      <c r="B3" t="s">
        <v>30</v>
      </c>
      <c r="C3" t="s">
        <v>36</v>
      </c>
    </row>
    <row r="4" spans="1:3" x14ac:dyDescent="0.25">
      <c r="A4" s="7" t="s">
        <v>14</v>
      </c>
      <c r="B4">
        <v>41400</v>
      </c>
      <c r="C4" s="14">
        <v>0.27777777777777779</v>
      </c>
    </row>
    <row r="5" spans="1:3" x14ac:dyDescent="0.25">
      <c r="A5" s="7" t="s">
        <v>22</v>
      </c>
      <c r="B5">
        <v>22400</v>
      </c>
      <c r="C5" s="14">
        <v>0.32142857142857145</v>
      </c>
    </row>
    <row r="6" spans="1:3" x14ac:dyDescent="0.25">
      <c r="A6" s="7" t="s">
        <v>10</v>
      </c>
      <c r="B6">
        <v>19200</v>
      </c>
      <c r="C6" s="14">
        <v>0.21875</v>
      </c>
    </row>
    <row r="7" spans="1:3" x14ac:dyDescent="0.25">
      <c r="A7" s="7" t="s">
        <v>17</v>
      </c>
      <c r="B7">
        <v>9900</v>
      </c>
      <c r="C7" s="14">
        <v>0.33333333333333331</v>
      </c>
    </row>
    <row r="8" spans="1:3" x14ac:dyDescent="0.25">
      <c r="A8" s="7" t="s">
        <v>21</v>
      </c>
      <c r="B8">
        <v>9200</v>
      </c>
      <c r="C8" s="14">
        <v>0.45</v>
      </c>
    </row>
    <row r="9" spans="1:3" x14ac:dyDescent="0.25">
      <c r="A9" s="7" t="s">
        <v>29</v>
      </c>
      <c r="B9">
        <v>102100</v>
      </c>
      <c r="C9" s="14">
        <v>0.2971596474045054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4345-18B3-4CEC-91CC-4F894C6BF9FB}">
  <dimension ref="A3:B16"/>
  <sheetViews>
    <sheetView workbookViewId="0">
      <selection activeCell="U34" sqref="U34"/>
    </sheetView>
  </sheetViews>
  <sheetFormatPr defaultRowHeight="15" x14ac:dyDescent="0.25"/>
  <cols>
    <col min="1" max="1" width="13.42578125" bestFit="1" customWidth="1"/>
    <col min="2" max="2" width="15.85546875" bestFit="1" customWidth="1"/>
    <col min="3" max="5" width="6" bestFit="1" customWidth="1"/>
    <col min="6" max="6" width="11.28515625" bestFit="1" customWidth="1"/>
  </cols>
  <sheetData>
    <row r="3" spans="1:2" x14ac:dyDescent="0.25">
      <c r="A3" s="6" t="s">
        <v>28</v>
      </c>
      <c r="B3" t="s">
        <v>30</v>
      </c>
    </row>
    <row r="4" spans="1:2" x14ac:dyDescent="0.25">
      <c r="A4" s="7" t="s">
        <v>11</v>
      </c>
      <c r="B4" s="4">
        <v>0.81292850146914786</v>
      </c>
    </row>
    <row r="5" spans="1:2" x14ac:dyDescent="0.25">
      <c r="A5" s="7" t="s">
        <v>18</v>
      </c>
      <c r="B5" s="4">
        <v>0.18707149853085211</v>
      </c>
    </row>
    <row r="6" spans="1:2" x14ac:dyDescent="0.25">
      <c r="A6" s="7" t="s">
        <v>29</v>
      </c>
      <c r="B6" s="4">
        <v>1</v>
      </c>
    </row>
    <row r="13" spans="1:2" x14ac:dyDescent="0.25">
      <c r="A13" s="6" t="s">
        <v>28</v>
      </c>
      <c r="B13" t="s">
        <v>30</v>
      </c>
    </row>
    <row r="14" spans="1:2" x14ac:dyDescent="0.25">
      <c r="A14" s="7" t="s">
        <v>11</v>
      </c>
      <c r="B14">
        <v>83000</v>
      </c>
    </row>
    <row r="15" spans="1:2" x14ac:dyDescent="0.25">
      <c r="A15" s="7" t="s">
        <v>18</v>
      </c>
      <c r="B15">
        <v>19100</v>
      </c>
    </row>
    <row r="16" spans="1:2" x14ac:dyDescent="0.25">
      <c r="A16" s="7" t="s">
        <v>29</v>
      </c>
      <c r="B16">
        <v>102100</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DA1E-A403-4A2F-9B82-C8C830FB60C3}">
  <dimension ref="A3:B31"/>
  <sheetViews>
    <sheetView topLeftCell="B6" workbookViewId="0">
      <selection activeCell="A10" sqref="A10:B31"/>
    </sheetView>
  </sheetViews>
  <sheetFormatPr defaultRowHeight="15" x14ac:dyDescent="0.25"/>
  <cols>
    <col min="1" max="1" width="19.42578125" bestFit="1" customWidth="1"/>
    <col min="2" max="2" width="24.42578125" bestFit="1" customWidth="1"/>
  </cols>
  <sheetData>
    <row r="3" spans="1:2" x14ac:dyDescent="0.25">
      <c r="A3" t="s">
        <v>38</v>
      </c>
    </row>
    <row r="4" spans="1:2" x14ac:dyDescent="0.25">
      <c r="A4" s="14">
        <v>0.2971596474045054</v>
      </c>
    </row>
    <row r="7" spans="1:2" x14ac:dyDescent="0.25">
      <c r="A7" s="17"/>
    </row>
    <row r="10" spans="1:2" x14ac:dyDescent="0.25">
      <c r="A10" s="6" t="s">
        <v>28</v>
      </c>
      <c r="B10" t="s">
        <v>36</v>
      </c>
    </row>
    <row r="11" spans="1:2" x14ac:dyDescent="0.25">
      <c r="A11" s="20">
        <v>46061</v>
      </c>
      <c r="B11" s="14">
        <v>0.27777777777777779</v>
      </c>
    </row>
    <row r="12" spans="1:2" x14ac:dyDescent="0.25">
      <c r="A12" s="20">
        <v>46042</v>
      </c>
      <c r="B12" s="14">
        <v>0.27777777777777779</v>
      </c>
    </row>
    <row r="13" spans="1:2" x14ac:dyDescent="0.25">
      <c r="A13" s="20">
        <v>46077</v>
      </c>
      <c r="B13" s="14">
        <v>0.32142857142857145</v>
      </c>
    </row>
    <row r="14" spans="1:2" x14ac:dyDescent="0.25">
      <c r="A14" s="20">
        <v>46027</v>
      </c>
      <c r="B14" s="14">
        <v>0.27777777777777779</v>
      </c>
    </row>
    <row r="15" spans="1:2" x14ac:dyDescent="0.25">
      <c r="A15" s="20">
        <v>46074</v>
      </c>
      <c r="B15" s="14">
        <v>0.27777777777777779</v>
      </c>
    </row>
    <row r="16" spans="1:2" x14ac:dyDescent="0.25">
      <c r="A16" s="20">
        <v>46033</v>
      </c>
      <c r="B16" s="14">
        <v>0.32142857142857145</v>
      </c>
    </row>
    <row r="17" spans="1:2" x14ac:dyDescent="0.25">
      <c r="A17" s="20">
        <v>46069</v>
      </c>
      <c r="B17" s="14">
        <v>0.45</v>
      </c>
    </row>
    <row r="18" spans="1:2" x14ac:dyDescent="0.25">
      <c r="A18" s="20">
        <v>46025</v>
      </c>
      <c r="B18" s="14">
        <v>0.21875</v>
      </c>
    </row>
    <row r="19" spans="1:2" x14ac:dyDescent="0.25">
      <c r="A19" s="20">
        <v>46054</v>
      </c>
      <c r="B19" s="14">
        <v>0.21875</v>
      </c>
    </row>
    <row r="20" spans="1:2" x14ac:dyDescent="0.25">
      <c r="A20" s="20">
        <v>46044</v>
      </c>
      <c r="B20" s="14">
        <v>0.32142857142857145</v>
      </c>
    </row>
    <row r="21" spans="1:2" x14ac:dyDescent="0.25">
      <c r="A21" s="20">
        <v>46063</v>
      </c>
      <c r="B21" s="14">
        <v>0.32142857142857145</v>
      </c>
    </row>
    <row r="22" spans="1:2" x14ac:dyDescent="0.25">
      <c r="A22" s="20">
        <v>46071</v>
      </c>
      <c r="B22" s="14">
        <v>0.33333333333333331</v>
      </c>
    </row>
    <row r="23" spans="1:2" x14ac:dyDescent="0.25">
      <c r="A23" s="20">
        <v>46030</v>
      </c>
      <c r="B23" s="14">
        <v>0.45</v>
      </c>
    </row>
    <row r="24" spans="1:2" x14ac:dyDescent="0.25">
      <c r="A24" s="20">
        <v>46028</v>
      </c>
      <c r="B24" s="14">
        <v>0.33333333333333331</v>
      </c>
    </row>
    <row r="25" spans="1:2" x14ac:dyDescent="0.25">
      <c r="A25" s="20">
        <v>46037</v>
      </c>
      <c r="B25" s="14">
        <v>0.45</v>
      </c>
    </row>
    <row r="26" spans="1:2" x14ac:dyDescent="0.25">
      <c r="A26" s="20">
        <v>46057</v>
      </c>
      <c r="B26" s="14">
        <v>0.45</v>
      </c>
    </row>
    <row r="27" spans="1:2" x14ac:dyDescent="0.25">
      <c r="A27" s="20">
        <v>46035</v>
      </c>
      <c r="B27" s="14">
        <v>0.21875</v>
      </c>
    </row>
    <row r="28" spans="1:2" x14ac:dyDescent="0.25">
      <c r="A28" s="20">
        <v>46067</v>
      </c>
      <c r="B28" s="14">
        <v>0.21875</v>
      </c>
    </row>
    <row r="29" spans="1:2" x14ac:dyDescent="0.25">
      <c r="A29" s="20">
        <v>46040</v>
      </c>
      <c r="B29" s="14">
        <v>0.33333333333333331</v>
      </c>
    </row>
    <row r="30" spans="1:2" x14ac:dyDescent="0.25">
      <c r="A30" s="20">
        <v>46059</v>
      </c>
      <c r="B30" s="14">
        <v>0.33333333333333331</v>
      </c>
    </row>
    <row r="31" spans="1:2" x14ac:dyDescent="0.25">
      <c r="A31" s="7" t="s">
        <v>29</v>
      </c>
      <c r="B31" s="14">
        <v>0.2971596474045054</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Sheet1</vt:lpstr>
      <vt:lpstr>Sheet2</vt:lpstr>
      <vt:lpstr>Sheet4</vt:lpstr>
      <vt:lpstr>Sheet5</vt:lpstr>
      <vt:lpstr>Sheet7</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ريهام اليامي</dc:creator>
  <cp:lastModifiedBy>ريهام اليامي</cp:lastModifiedBy>
  <dcterms:created xsi:type="dcterms:W3CDTF">2026-07-03T13:42:40Z</dcterms:created>
  <dcterms:modified xsi:type="dcterms:W3CDTF">2026-09-05T11:05:37Z</dcterms:modified>
</cp:coreProperties>
</file>